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d5aea2a5aeac9c84/Desktop/Assignments GP/"/>
    </mc:Choice>
  </mc:AlternateContent>
  <xr:revisionPtr revIDLastSave="11" documentId="13_ncr:1_{CD238884-BF2B-4671-B259-42073FC815D1}" xr6:coauthVersionLast="47" xr6:coauthVersionMax="47" xr10:uidLastSave="{FEFC3CC7-896C-4CA1-9B2A-531646825EE7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Table13_1" sheetId="10" r:id="rId3"/>
    <sheet name="Sheet1" sheetId="8" state="hidden" r:id="rId4"/>
    <sheet name="Final Out put" sheetId="7" state="hidden" r:id="rId5"/>
    <sheet name="Sheet2" sheetId="11" state="hidden" r:id="rId6"/>
  </sheets>
  <definedNames>
    <definedName name="_xlnm._FilterDatabase" localSheetId="4" hidden="1">'Final Out put'!$A$1:$F$32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0" l="1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I7" i="10"/>
  <c r="D2" i="7"/>
  <c r="D3" i="7"/>
  <c r="G3" i="7" s="1"/>
  <c r="D4" i="7"/>
  <c r="G4" i="7" s="1"/>
  <c r="D5" i="7"/>
  <c r="G5" i="7" s="1"/>
  <c r="D6" i="7"/>
  <c r="G6" i="7" s="1"/>
  <c r="D8" i="7"/>
  <c r="D9" i="7"/>
  <c r="G9" i="7" s="1"/>
  <c r="D10" i="7"/>
  <c r="G10" i="7" s="1"/>
  <c r="D11" i="7"/>
  <c r="G11" i="7" s="1"/>
  <c r="D12" i="7"/>
  <c r="G12" i="7" s="1"/>
  <c r="D13" i="7"/>
  <c r="D14" i="7"/>
  <c r="D15" i="7"/>
  <c r="G15" i="7" s="1"/>
  <c r="D16" i="7"/>
  <c r="G16" i="7" s="1"/>
  <c r="D17" i="7"/>
  <c r="G17" i="7" s="1"/>
  <c r="D18" i="7"/>
  <c r="G18" i="7" s="1"/>
  <c r="D19" i="7"/>
  <c r="G19" i="7" s="1"/>
  <c r="D20" i="7"/>
  <c r="G20" i="7" s="1"/>
  <c r="D22" i="7"/>
  <c r="G22" i="7" s="1"/>
  <c r="D23" i="7"/>
  <c r="G23" i="7" s="1"/>
  <c r="D24" i="7"/>
  <c r="G24" i="7" s="1"/>
  <c r="D25" i="7"/>
  <c r="G25" i="7" s="1"/>
  <c r="D26" i="7"/>
  <c r="G26" i="7" s="1"/>
  <c r="D28" i="7"/>
  <c r="G28" i="7" s="1"/>
  <c r="D29" i="7"/>
  <c r="D30" i="7"/>
  <c r="G30" i="7" s="1"/>
  <c r="D31" i="7"/>
  <c r="G31" i="7" s="1"/>
  <c r="D32" i="7"/>
  <c r="G32" i="7" s="1"/>
  <c r="J8" i="7"/>
  <c r="G8" i="7"/>
  <c r="G13" i="7"/>
  <c r="G21" i="7"/>
  <c r="G29" i="7"/>
  <c r="G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2" i="7"/>
  <c r="J7" i="7" l="1"/>
  <c r="K11" i="7" s="1"/>
  <c r="G7" i="7"/>
  <c r="G27" i="7"/>
  <c r="G1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3FC840-7D86-452B-AA3F-BCF98E4E9184}" keepAlive="1" name="Query - Table13" description="Connection to the 'Table13' query in the workbook." type="5" refreshedVersion="0" background="1" saveData="1">
    <dbPr connection="Provider=Microsoft.Mashup.OleDb.1;Data Source=$Workbook$;Location=Table13;Extended Properties=&quot;&quot;" command="SELECT * FROM [Table13]"/>
  </connection>
  <connection id="2" xr16:uid="{6B494632-2599-44C1-8D73-E4D29954B04C}" keepAlive="1" name="Query - Table13_1" description="Connection to the 'Table13_1' query in the workbook." type="5" refreshedVersion="8" background="1" saveData="1">
    <dbPr connection="Provider=Microsoft.Mashup.OleDb.1;Data Source=$Workbook$;Location=Table13_1;Extended Properties=&quot;&quot;" command="SELECT * FROM [Table13_1]"/>
  </connection>
  <connection id="3" xr16:uid="{E4F3EAEA-FA38-48FD-A4CA-4DB0AD5B33EB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  <connection id="4" xr16:uid="{D1E8A74F-07EA-4A5B-B6DE-7E6639D98BF3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5" xr16:uid="{5D4A2264-4C70-4844-9686-A4004E3DD52F}" keepAlive="1" name="Query - Table4_1" description="Connection to the 'Table4_1' query in the workbook." type="5" refreshedVersion="0" background="1" saveData="1">
    <dbPr connection="Provider=Microsoft.Mashup.OleDb.1;Data Source=$Workbook$;Location=Table4_1;Extended Properties=&quot;&quot;" command="SELECT * FROM [Table4_1]"/>
  </connection>
</connections>
</file>

<file path=xl/sharedStrings.xml><?xml version="1.0" encoding="utf-8"?>
<sst xmlns="http://schemas.openxmlformats.org/spreadsheetml/2006/main" count="350" uniqueCount="139">
  <si>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</si>
  <si>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</si>
  <si>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</si>
  <si>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</si>
  <si>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</si>
  <si>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</si>
  <si>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</si>
  <si>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</si>
  <si>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</si>
  <si>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</si>
  <si>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</si>
  <si>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</si>
  <si>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</si>
  <si>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</si>
  <si>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</si>
  <si>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</si>
  <si>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</si>
  <si>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</si>
  <si>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</si>
  <si>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</si>
  <si>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</si>
  <si>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</si>
  <si>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</si>
  <si>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</si>
  <si>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</si>
  <si>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</si>
  <si>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</si>
  <si>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</si>
  <si>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</si>
  <si>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</si>
  <si>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</si>
  <si>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</si>
  <si>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</si>
  <si>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</si>
  <si>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</si>
  <si>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</si>
  <si>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</si>
  <si>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</si>
  <si>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</si>
  <si>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</si>
  <si>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</si>
  <si>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</si>
  <si>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</si>
  <si>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</si>
  <si>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</si>
  <si>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</si>
  <si>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</si>
  <si>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</si>
  <si>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</si>
  <si>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</si>
  <si>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</si>
  <si>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</si>
  <si>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</si>
  <si>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</si>
  <si>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</si>
  <si>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</si>
  <si>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</si>
  <si>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</si>
  <si>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</si>
  <si>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</si>
  <si>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</si>
  <si>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</si>
  <si>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</si>
  <si>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</si>
  <si>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</si>
  <si>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</si>
  <si>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</si>
  <si>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</si>
  <si>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</si>
  <si>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</si>
  <si>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</si>
  <si>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</si>
  <si>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</si>
  <si>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</si>
  <si>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</si>
  <si>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</si>
  <si>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</si>
  <si>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</si>
  <si>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</si>
  <si>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</si>
  <si>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</si>
  <si>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</si>
  <si>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</si>
  <si>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</si>
  <si>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</si>
  <si>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</si>
  <si>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</si>
  <si>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</si>
  <si>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</si>
  <si>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</si>
  <si>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</si>
  <si>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</si>
  <si>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</si>
  <si>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</si>
  <si>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</si>
  <si>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</si>
  <si>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</si>
  <si>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</si>
  <si>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</si>
  <si>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</si>
  <si>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</si>
  <si>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</si>
  <si>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</si>
  <si>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</si>
  <si>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</si>
  <si>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</si>
  <si>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</si>
  <si>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</si>
  <si>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</si>
  <si>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</si>
  <si>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</si>
  <si>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</si>
  <si>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</si>
  <si>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</si>
  <si>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</si>
  <si>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</si>
  <si>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US</t>
  </si>
  <si>
    <t>Country Code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</si>
  <si>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</si>
  <si>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</si>
  <si>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</si>
  <si>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</si>
  <si>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</si>
  <si>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</si>
  <si>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</si>
  <si>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</si>
  <si>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</si>
  <si>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</si>
  <si>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</si>
  <si>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Manufacture Date</t>
  </si>
  <si>
    <t>Column1</t>
  </si>
  <si>
    <t xml:space="preserve">Price </t>
  </si>
  <si>
    <t>sum of elec</t>
  </si>
  <si>
    <t>count of ele</t>
  </si>
  <si>
    <t>Electronicscs</t>
  </si>
  <si>
    <t>Electronicscscs</t>
  </si>
  <si>
    <t>Column2</t>
  </si>
  <si>
    <t>Product Brand</t>
  </si>
  <si>
    <t>Manufacturing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</si>
</sst>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5C]#,##0"/>
    <numFmt numFmtId="165" formatCode="_-[$$-409]* #,##0.00_ ;_-[$$-409]* \-#,##0.00\ ;_-[$$-409]* &quot;-&quot;??_ ;_-@_ "/>
    <numFmt numFmtId="166" formatCode="[$-14009]dd/mm/yyyy;@"/>
  </numFmts>
  <fonts count="16" x14ac:knownFonts="1">
    <font>
      <sz val="10"/>
      <color rgb="FF000000"/>
      <name val="Arial"/>
      <scheme val="minor"/>
    </font>
    <font>
      <b/>
      <sz val="11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Calibri"/>
      <family val="2"/>
    </font>
    <font>
      <sz val="10"/>
      <name val="Arial"/>
      <family val="2"/>
    </font>
    <font>
      <sz val="11"/>
      <name val="Times New Roman"/>
      <family val="1"/>
    </font>
    <font>
      <b/>
      <sz val="10"/>
      <name val="Arial"/>
      <family val="2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8"/>
      <name val="Arial"/>
      <scheme val="minor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rgb="FFE0F7F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4DD0E1"/>
      </patternFill>
    </fill>
    <fill>
      <patternFill patternType="solid">
        <fgColor theme="6" tint="0.39997558519241921"/>
        <bgColor theme="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1" xfId="0" applyFont="1" applyFill="1" applyBorder="1"/>
    <xf numFmtId="0" fontId="5" fillId="0" borderId="1" xfId="0" applyFont="1" applyBorder="1"/>
    <xf numFmtId="0" fontId="10" fillId="6" borderId="1" xfId="0" applyFont="1" applyFill="1" applyBorder="1"/>
    <xf numFmtId="14" fontId="10" fillId="6" borderId="4" xfId="0" applyNumberFormat="1" applyFont="1" applyFill="1" applyBorder="1" applyAlignment="1">
      <alignment horizontal="left"/>
    </xf>
    <xf numFmtId="0" fontId="10" fillId="6" borderId="4" xfId="0" applyFont="1" applyFill="1" applyBorder="1" applyAlignment="1">
      <alignment horizontal="center"/>
    </xf>
    <xf numFmtId="0" fontId="12" fillId="6" borderId="4" xfId="0" applyFont="1" applyFill="1" applyBorder="1"/>
    <xf numFmtId="164" fontId="8" fillId="4" borderId="4" xfId="0" applyNumberFormat="1" applyFont="1" applyFill="1" applyBorder="1"/>
    <xf numFmtId="0" fontId="10" fillId="6" borderId="4" xfId="0" applyFont="1" applyFill="1" applyBorder="1"/>
    <xf numFmtId="0" fontId="10" fillId="6" borderId="2" xfId="0" applyFont="1" applyFill="1" applyBorder="1"/>
    <xf numFmtId="14" fontId="10" fillId="5" borderId="4" xfId="0" applyNumberFormat="1" applyFont="1" applyFill="1" applyBorder="1" applyAlignment="1">
      <alignment horizontal="left"/>
    </xf>
    <xf numFmtId="0" fontId="10" fillId="5" borderId="4" xfId="0" applyFont="1" applyFill="1" applyBorder="1" applyAlignment="1">
      <alignment horizontal="center"/>
    </xf>
    <xf numFmtId="0" fontId="10" fillId="5" borderId="4" xfId="0" applyFont="1" applyFill="1" applyBorder="1"/>
    <xf numFmtId="0" fontId="10" fillId="5" borderId="2" xfId="0" applyFont="1" applyFill="1" applyBorder="1"/>
    <xf numFmtId="14" fontId="10" fillId="6" borderId="3" xfId="0" applyNumberFormat="1" applyFont="1" applyFill="1" applyBorder="1" applyAlignment="1">
      <alignment horizontal="left"/>
    </xf>
    <xf numFmtId="0" fontId="10" fillId="6" borderId="3" xfId="0" applyFont="1" applyFill="1" applyBorder="1" applyAlignment="1">
      <alignment horizontal="center"/>
    </xf>
    <xf numFmtId="0" fontId="10" fillId="6" borderId="3" xfId="0" applyFont="1" applyFill="1" applyBorder="1"/>
    <xf numFmtId="0" fontId="9" fillId="7" borderId="4" xfId="0" applyFont="1" applyFill="1" applyBorder="1"/>
    <xf numFmtId="0" fontId="11" fillId="7" borderId="4" xfId="0" applyFont="1" applyFill="1" applyBorder="1"/>
    <xf numFmtId="0" fontId="7" fillId="8" borderId="4" xfId="0" applyFont="1" applyFill="1" applyBorder="1" applyAlignment="1">
      <alignment horizontal="center"/>
    </xf>
    <xf numFmtId="0" fontId="9" fillId="7" borderId="2" xfId="0" applyFont="1" applyFill="1" applyBorder="1"/>
    <xf numFmtId="2" fontId="8" fillId="4" borderId="4" xfId="0" applyNumberFormat="1" applyFont="1" applyFill="1" applyBorder="1"/>
    <xf numFmtId="0" fontId="15" fillId="0" borderId="1" xfId="0" applyFont="1" applyBorder="1" applyAlignment="1">
      <alignment horizontal="center"/>
    </xf>
    <xf numFmtId="0" fontId="14" fillId="9" borderId="1" xfId="0" applyFont="1" applyFill="1" applyBorder="1"/>
    <xf numFmtId="0" fontId="14" fillId="9" borderId="1" xfId="0" applyFont="1" applyFill="1" applyBorder="1" applyAlignment="1">
      <alignment horizontal="center"/>
    </xf>
    <xf numFmtId="166" fontId="15" fillId="0" borderId="1" xfId="0" applyNumberFormat="1" applyFont="1" applyBorder="1" applyAlignment="1">
      <alignment horizontal="left"/>
    </xf>
    <xf numFmtId="0" fontId="15" fillId="0" borderId="1" xfId="0" applyFont="1" applyBorder="1"/>
    <xf numFmtId="165" fontId="15" fillId="0" borderId="1" xfId="0" applyNumberFormat="1" applyFont="1" applyBorder="1"/>
    <xf numFmtId="0" fontId="0" fillId="0" borderId="2" xfId="0" applyBorder="1"/>
    <xf numFmtId="0" fontId="0" fillId="0" borderId="5" xfId="0" applyBorder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b val="0"/>
        <i val="0"/>
      </font>
      <fill>
        <patternFill patternType="solid">
          <fgColor auto="1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EB8AFA-8EDB-423D-BBB7-888444A5E68F}" name="Table1" displayName="Table1" ref="A1:G32" totalsRowShown="0" headerRowDxfId="18" dataDxfId="17">
  <tableColumns count="7">
    <tableColumn id="1" xr3:uid="{52783AD6-93D3-4259-A04C-060DBD63E60E}" name="Product ID" dataDxfId="16"/>
    <tableColumn id="2" xr3:uid="{F773E76F-D716-422F-A2E4-D80587D35302}" name="Product Name" dataDxfId="15"/>
    <tableColumn id="3" xr3:uid="{163BFACB-38B3-459F-93E9-4A088E4DC5BA}" name="Brand Name" dataDxfId="14"/>
    <tableColumn id="4" xr3:uid="{5CAF97E9-C19F-4886-97A1-CF7A581B1A5D}" name="Price ($)" dataDxfId="13"/>
    <tableColumn id="5" xr3:uid="{1F9C49E5-3D59-4246-B2BB-84C952DF5470}" name="Quantity" dataDxfId="12"/>
    <tableColumn id="6" xr3:uid="{E86B2C7B-2312-4D7E-9BAB-A3D966C943F7}" name="Category" dataDxfId="11"/>
    <tableColumn id="7" xr3:uid="{6843A804-36DD-4F14-B2E3-811C05ED54E2}" name="Column1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E06E8B-40B5-4B22-9F1C-433FFE75342B}" name="Table13" displayName="Table13" ref="A1:F32" totalsRowShown="0" headerRowDxfId="9" dataDxfId="8">
  <autoFilter ref="A1:F32" xr:uid="{E9E06E8B-40B5-4B22-9F1C-433FFE75342B}"/>
  <tableColumns count="6">
    <tableColumn id="1" xr3:uid="{A5DA489C-B4D8-45F0-B877-4132CED14DE5}" name="Product ID" dataDxfId="7"/>
    <tableColumn id="2" xr3:uid="{0957BBF3-E3EC-4FD7-B4C5-669CD229D86A}" name="Column2" dataDxfId="6">
      <calculatedColumnFormula>PROPER(CONCATENATE(Table1[[#This Row],[Brand Name]]," ",Table1[[#This Row],[Product Name]]))</calculatedColumnFormula>
    </tableColumn>
    <tableColumn id="4" xr3:uid="{2922BF09-14B0-4095-BCB7-A5FABD57261B}" name="Price ($)" dataDxfId="5"/>
    <tableColumn id="5" xr3:uid="{CF584564-33A4-43B0-B276-62F32504ABD4}" name="Quantity" dataDxfId="4"/>
    <tableColumn id="6" xr3:uid="{8BDCAA2C-7D9E-4B20-99B3-F287AF2A584F}" name="Category" dataDxfId="3"/>
    <tableColumn id="7" xr3:uid="{67F3DD0E-E25A-4EF0-9066-5A4E4759AB9C}" name="Column1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25"/>
  <sheetViews>
    <sheetView showGridLines="0" workbookViewId="0">
      <selection activeCell="C5" sqref="C5"/>
    </sheetView>
  </sheetViews>
  <sheetFormatPr defaultColWidth="14.44140625" defaultRowHeight="15" customHeight="1" x14ac:dyDescent="0.25"/>
  <cols>
    <col min="1" max="1" width="12.5546875" customWidth="1"/>
    <col min="2" max="2" width="7.44140625" customWidth="1"/>
    <col min="3" max="11" width="12.554687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2"/>
  <sheetViews>
    <sheetView workbookViewId="0">
      <selection activeCell="F2" sqref="F2:F32"/>
    </sheetView>
  </sheetViews>
  <sheetFormatPr defaultColWidth="14.44140625" defaultRowHeight="13.2" x14ac:dyDescent="0.25"/>
  <cols>
    <col min="1" max="1" width="14.77734375" bestFit="1" customWidth="1"/>
    <col min="2" max="2" width="18" bestFit="1" customWidth="1"/>
    <col min="3" max="3" width="16.21875" bestFit="1" customWidth="1"/>
    <col min="4" max="4" width="12.77734375" bestFit="1" customWidth="1"/>
    <col min="5" max="5" width="12.88671875" bestFit="1" customWidth="1"/>
    <col min="6" max="6" width="13.44140625" bestFit="1" customWidth="1"/>
    <col min="7" max="11" width="12.5546875" customWidth="1"/>
  </cols>
  <sheetData>
    <row r="1" spans="1:7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130</v>
      </c>
    </row>
    <row r="2" spans="1:7" x14ac:dyDescent="0.25">
      <c r="A2" s="9" t="s">
        <v>25</v>
      </c>
      <c r="B2" s="9" t="s">
        <v>26</v>
      </c>
      <c r="C2" s="9" t="s">
        <v>27</v>
      </c>
      <c r="D2" s="9">
        <v>1000</v>
      </c>
      <c r="E2" s="9">
        <v>30</v>
      </c>
      <c r="F2" s="9" t="s">
        <v>28</v>
      </c>
      <c r="G2" s="8"/>
    </row>
    <row r="3" spans="1:7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G3" s="8"/>
    </row>
    <row r="4" spans="1:7" x14ac:dyDescent="0.25">
      <c r="A4" s="9" t="s">
        <v>33</v>
      </c>
      <c r="B4" s="9" t="s">
        <v>34</v>
      </c>
      <c r="C4" s="9" t="s">
        <v>35</v>
      </c>
      <c r="D4" s="9">
        <v>130</v>
      </c>
      <c r="E4" s="9">
        <v>40</v>
      </c>
      <c r="F4" s="9" t="s">
        <v>36</v>
      </c>
      <c r="G4" s="8"/>
    </row>
    <row r="5" spans="1:7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G5" s="8"/>
    </row>
    <row r="6" spans="1:7" x14ac:dyDescent="0.25">
      <c r="A6" s="9" t="s">
        <v>40</v>
      </c>
      <c r="B6" s="9" t="s">
        <v>41</v>
      </c>
      <c r="C6" s="9" t="s">
        <v>42</v>
      </c>
      <c r="D6" s="9">
        <v>70</v>
      </c>
      <c r="E6" s="9">
        <v>20</v>
      </c>
      <c r="F6" s="9"/>
      <c r="G6" s="8"/>
    </row>
    <row r="7" spans="1:7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  <c r="G7" s="8"/>
    </row>
    <row r="8" spans="1:7" x14ac:dyDescent="0.25">
      <c r="A8" s="9" t="s">
        <v>47</v>
      </c>
      <c r="B8" s="9" t="s">
        <v>48</v>
      </c>
      <c r="C8" s="9" t="s">
        <v>49</v>
      </c>
      <c r="D8" s="9">
        <v>30</v>
      </c>
      <c r="E8" s="9">
        <v>5</v>
      </c>
      <c r="F8" s="9" t="s">
        <v>32</v>
      </c>
      <c r="G8" s="8"/>
    </row>
    <row r="9" spans="1:7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  <c r="G9" s="8"/>
    </row>
    <row r="10" spans="1:7" x14ac:dyDescent="0.25">
      <c r="A10" s="9" t="s">
        <v>53</v>
      </c>
      <c r="B10" s="9" t="s">
        <v>54</v>
      </c>
      <c r="C10" s="9" t="s">
        <v>55</v>
      </c>
      <c r="D10" s="9">
        <v>500</v>
      </c>
      <c r="E10" s="9">
        <v>50</v>
      </c>
      <c r="F10" s="9" t="s">
        <v>28</v>
      </c>
      <c r="G10" s="8"/>
    </row>
    <row r="11" spans="1:7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  <c r="G11" s="8"/>
    </row>
    <row r="12" spans="1:7" x14ac:dyDescent="0.25">
      <c r="A12" s="9" t="s">
        <v>60</v>
      </c>
      <c r="B12" s="9" t="s">
        <v>61</v>
      </c>
      <c r="C12" s="9" t="s">
        <v>62</v>
      </c>
      <c r="D12" s="9">
        <v>950</v>
      </c>
      <c r="E12" s="9">
        <v>25</v>
      </c>
      <c r="F12" s="9" t="s">
        <v>28</v>
      </c>
      <c r="G12" s="8"/>
    </row>
    <row r="13" spans="1:7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  <c r="G13" s="8"/>
    </row>
    <row r="14" spans="1:7" x14ac:dyDescent="0.25">
      <c r="A14" s="9" t="s">
        <v>64</v>
      </c>
      <c r="B14" s="9" t="s">
        <v>34</v>
      </c>
      <c r="C14" s="9" t="s">
        <v>65</v>
      </c>
      <c r="D14" s="9">
        <v>120</v>
      </c>
      <c r="E14" s="9">
        <v>35</v>
      </c>
      <c r="F14" s="9"/>
      <c r="G14" s="8"/>
    </row>
    <row r="15" spans="1:7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  <c r="G15" s="8"/>
    </row>
    <row r="16" spans="1:7" x14ac:dyDescent="0.25">
      <c r="A16" s="9" t="s">
        <v>69</v>
      </c>
      <c r="B16" s="9" t="s">
        <v>70</v>
      </c>
      <c r="C16" s="9" t="s">
        <v>71</v>
      </c>
      <c r="D16" s="9">
        <v>250</v>
      </c>
      <c r="E16" s="9">
        <v>20</v>
      </c>
      <c r="F16" s="9" t="s">
        <v>46</v>
      </c>
      <c r="G16" s="8"/>
    </row>
    <row r="17" spans="1:7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  <c r="G17" s="8"/>
    </row>
    <row r="18" spans="1:7" x14ac:dyDescent="0.25">
      <c r="A18" s="9" t="s">
        <v>76</v>
      </c>
      <c r="B18" s="9" t="s">
        <v>67</v>
      </c>
      <c r="C18" s="9" t="s">
        <v>77</v>
      </c>
      <c r="D18" s="9">
        <v>160</v>
      </c>
      <c r="E18" s="9">
        <v>15</v>
      </c>
      <c r="F18" s="9" t="s">
        <v>46</v>
      </c>
      <c r="G18" s="8"/>
    </row>
    <row r="19" spans="1:7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  <c r="G19" s="8"/>
    </row>
    <row r="20" spans="1:7" x14ac:dyDescent="0.25">
      <c r="A20" s="9" t="s">
        <v>80</v>
      </c>
      <c r="B20" s="9" t="s">
        <v>81</v>
      </c>
      <c r="C20" s="9" t="s">
        <v>82</v>
      </c>
      <c r="D20" s="9">
        <v>150</v>
      </c>
      <c r="E20" s="9">
        <v>15</v>
      </c>
      <c r="F20" s="9" t="s">
        <v>32</v>
      </c>
      <c r="G20" s="8"/>
    </row>
    <row r="21" spans="1:7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  <c r="G21" s="8"/>
    </row>
    <row r="22" spans="1:7" x14ac:dyDescent="0.25">
      <c r="A22" s="9" t="s">
        <v>86</v>
      </c>
      <c r="B22" s="9" t="s">
        <v>87</v>
      </c>
      <c r="C22" s="9" t="s">
        <v>88</v>
      </c>
      <c r="D22" s="9">
        <v>700</v>
      </c>
      <c r="E22" s="9">
        <v>50</v>
      </c>
      <c r="F22" s="9" t="s">
        <v>28</v>
      </c>
      <c r="G22" s="8"/>
    </row>
    <row r="23" spans="1:7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  <c r="G23" s="8"/>
    </row>
    <row r="24" spans="1:7" x14ac:dyDescent="0.25">
      <c r="A24" s="9" t="s">
        <v>92</v>
      </c>
      <c r="B24" s="9" t="s">
        <v>93</v>
      </c>
      <c r="C24" s="9" t="s">
        <v>94</v>
      </c>
      <c r="D24" s="9">
        <v>150</v>
      </c>
      <c r="E24" s="9">
        <v>30</v>
      </c>
      <c r="F24" s="9"/>
      <c r="G24" s="8"/>
    </row>
    <row r="25" spans="1:7" x14ac:dyDescent="0.25">
      <c r="A25" s="9" t="s">
        <v>95</v>
      </c>
      <c r="B25" s="9" t="s">
        <v>96</v>
      </c>
      <c r="C25" s="9" t="s">
        <v>97</v>
      </c>
      <c r="D25" s="9">
        <v>800</v>
      </c>
      <c r="E25" s="9">
        <v>45</v>
      </c>
      <c r="F25" s="9" t="s">
        <v>28</v>
      </c>
      <c r="G25" s="8"/>
    </row>
    <row r="26" spans="1:7" x14ac:dyDescent="0.25">
      <c r="A26" s="8" t="s">
        <v>98</v>
      </c>
      <c r="B26" s="8" t="s">
        <v>81</v>
      </c>
      <c r="C26" s="8" t="s">
        <v>99</v>
      </c>
      <c r="D26" s="8"/>
      <c r="E26" s="8">
        <v>25</v>
      </c>
      <c r="F26" s="8" t="s">
        <v>32</v>
      </c>
      <c r="G26" s="8"/>
    </row>
    <row r="27" spans="1:7" x14ac:dyDescent="0.25">
      <c r="A27" s="9" t="s">
        <v>100</v>
      </c>
      <c r="B27" s="9" t="s">
        <v>51</v>
      </c>
      <c r="C27" s="9" t="s">
        <v>101</v>
      </c>
      <c r="D27" s="9">
        <v>400</v>
      </c>
      <c r="E27" s="9">
        <v>40</v>
      </c>
      <c r="F27" s="9" t="s">
        <v>36</v>
      </c>
      <c r="G27" s="8"/>
    </row>
    <row r="28" spans="1:7" x14ac:dyDescent="0.25">
      <c r="A28" s="9" t="s">
        <v>102</v>
      </c>
      <c r="B28" s="9" t="s">
        <v>103</v>
      </c>
      <c r="C28" s="9" t="s">
        <v>104</v>
      </c>
      <c r="D28" s="9">
        <v>60</v>
      </c>
      <c r="E28" s="9">
        <v>30</v>
      </c>
      <c r="F28" s="9" t="s">
        <v>32</v>
      </c>
      <c r="G28" s="8"/>
    </row>
    <row r="29" spans="1:7" x14ac:dyDescent="0.25">
      <c r="A29" s="8" t="s">
        <v>105</v>
      </c>
      <c r="B29" s="8" t="s">
        <v>106</v>
      </c>
      <c r="C29" s="8" t="s">
        <v>107</v>
      </c>
      <c r="D29" s="8">
        <v>40</v>
      </c>
      <c r="E29" s="8">
        <v>10</v>
      </c>
      <c r="F29" s="8" t="s">
        <v>36</v>
      </c>
      <c r="G29" s="8"/>
    </row>
    <row r="30" spans="1:7" x14ac:dyDescent="0.25">
      <c r="A30" s="9" t="s">
        <v>108</v>
      </c>
      <c r="B30" s="9" t="s">
        <v>93</v>
      </c>
      <c r="C30" s="9" t="s">
        <v>109</v>
      </c>
      <c r="D30" s="9">
        <v>130</v>
      </c>
      <c r="E30" s="9">
        <v>5</v>
      </c>
      <c r="F30" s="9" t="s">
        <v>28</v>
      </c>
      <c r="G30" s="8"/>
    </row>
    <row r="31" spans="1:7" x14ac:dyDescent="0.25">
      <c r="A31" s="8" t="s">
        <v>110</v>
      </c>
      <c r="B31" s="8" t="s">
        <v>111</v>
      </c>
      <c r="C31" s="8" t="s">
        <v>112</v>
      </c>
      <c r="D31" s="8">
        <v>50</v>
      </c>
      <c r="E31" s="8">
        <v>50</v>
      </c>
      <c r="F31" s="8" t="s">
        <v>32</v>
      </c>
      <c r="G31" s="8"/>
    </row>
    <row r="32" spans="1:7" x14ac:dyDescent="0.25">
      <c r="A32" s="8" t="s">
        <v>113</v>
      </c>
      <c r="B32" s="8" t="s">
        <v>114</v>
      </c>
      <c r="C32" s="8" t="s">
        <v>115</v>
      </c>
      <c r="D32" s="8">
        <v>100</v>
      </c>
      <c r="E32" s="8">
        <v>20</v>
      </c>
      <c r="F32" s="8" t="s">
        <v>75</v>
      </c>
      <c r="G32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2842B-8BFA-4CCD-87F3-302EEFA8CD53}">
  <dimension ref="A1:I32"/>
  <sheetViews>
    <sheetView tabSelected="1" workbookViewId="0">
      <selection activeCell="J9" sqref="J9"/>
    </sheetView>
  </sheetViews>
  <sheetFormatPr defaultRowHeight="13.2" x14ac:dyDescent="0.25"/>
  <cols>
    <col min="1" max="1" width="18.6640625" bestFit="1" customWidth="1"/>
    <col min="2" max="2" width="14.109375" bestFit="1" customWidth="1"/>
    <col min="3" max="3" width="21.44140625" bestFit="1" customWidth="1"/>
    <col min="4" max="4" width="10.5546875" hidden="1" customWidth="1"/>
    <col min="5" max="5" width="10.5546875" customWidth="1"/>
    <col min="6" max="6" width="10.6640625" bestFit="1" customWidth="1"/>
    <col min="7" max="7" width="11.21875" bestFit="1" customWidth="1"/>
  </cols>
  <sheetData>
    <row r="1" spans="1:9" ht="13.8" x14ac:dyDescent="0.25">
      <c r="A1" s="30" t="s">
        <v>138</v>
      </c>
      <c r="B1" s="31" t="s">
        <v>117</v>
      </c>
      <c r="C1" s="30" t="s">
        <v>137</v>
      </c>
      <c r="D1" s="30" t="s">
        <v>22</v>
      </c>
      <c r="E1" s="30" t="s">
        <v>22</v>
      </c>
      <c r="F1" s="30" t="s">
        <v>23</v>
      </c>
      <c r="G1" s="30" t="s">
        <v>24</v>
      </c>
    </row>
    <row r="2" spans="1:9" ht="13.8" x14ac:dyDescent="0.25">
      <c r="A2" s="32">
        <v>45685</v>
      </c>
      <c r="B2" s="29" t="s">
        <v>116</v>
      </c>
      <c r="C2" s="33" t="str">
        <f>PROPER(CONCATENATE(Table1[[#This Row],[Brand Name]]," ",Table1[[#This Row],[Product Name]]))</f>
        <v>Dell Laptop</v>
      </c>
      <c r="D2" s="33">
        <v>1000</v>
      </c>
      <c r="E2" s="34">
        <f>IF(Table1[[#This Row],[Price ($)]]="",AVERAGEIF($G$2:$G$32,Table13_1!$G2,$D$2:$D$32),Table1[[#This Row],[Price ($)]])</f>
        <v>1000</v>
      </c>
      <c r="F2" s="29">
        <v>30</v>
      </c>
      <c r="G2" s="33" t="s">
        <v>28</v>
      </c>
    </row>
    <row r="3" spans="1:9" ht="13.8" x14ac:dyDescent="0.25">
      <c r="A3" s="32">
        <v>45703</v>
      </c>
      <c r="B3" s="29" t="s">
        <v>116</v>
      </c>
      <c r="C3" s="33" t="str">
        <f>PROPER(CONCATENATE(Table1[[#This Row],[Brand Name]]," ",Table1[[#This Row],[Product Name]]))</f>
        <v>Nike Sneakers</v>
      </c>
      <c r="D3" s="33">
        <v>80</v>
      </c>
      <c r="E3" s="34">
        <f>IF(Table1[[#This Row],[Price ($)]]="",AVERAGEIF($G$2:$G$32,Table13_1!$G3,$D$2:$D$32),Table1[[#This Row],[Price ($)]])</f>
        <v>80</v>
      </c>
      <c r="F3" s="29">
        <v>15</v>
      </c>
      <c r="G3" s="33" t="s">
        <v>32</v>
      </c>
    </row>
    <row r="4" spans="1:9" ht="13.8" x14ac:dyDescent="0.25">
      <c r="A4" s="32">
        <v>45719</v>
      </c>
      <c r="B4" s="29" t="s">
        <v>116</v>
      </c>
      <c r="C4" s="33" t="str">
        <f>PROPER(CONCATENATE(Table1[[#This Row],[Brand Name]]," ",Table1[[#This Row],[Product Name]]))</f>
        <v>Keurig Coffee Maker</v>
      </c>
      <c r="D4" s="33">
        <v>130</v>
      </c>
      <c r="E4" s="34">
        <f>IF(Table1[[#This Row],[Price ($)]]="",AVERAGEIF($G$2:$G$32,Table13_1!$G4,$D$2:$D$32),Table1[[#This Row],[Price ($)]])</f>
        <v>130</v>
      </c>
      <c r="F4" s="29">
        <v>40</v>
      </c>
      <c r="G4" s="33" t="s">
        <v>36</v>
      </c>
    </row>
    <row r="5" spans="1:9" ht="13.8" x14ac:dyDescent="0.25">
      <c r="A5" s="32">
        <v>45758</v>
      </c>
      <c r="B5" s="29" t="s">
        <v>116</v>
      </c>
      <c r="C5" s="33" t="str">
        <f>PROPER(CONCATENATE(Table1[[#This Row],[Brand Name]]," ",Table1[[#This Row],[Product Name]]))</f>
        <v>Samsung Smartphone</v>
      </c>
      <c r="D5" s="33">
        <v>900</v>
      </c>
      <c r="E5" s="34">
        <f>IF(Table1[[#This Row],[Price ($)]]="",AVERAGEIF($G$2:$G$32,Table13_1!$G5,$D$2:$D$32),Table1[[#This Row],[Price ($)]])</f>
        <v>900</v>
      </c>
      <c r="F5" s="29">
        <v>25</v>
      </c>
      <c r="G5" s="33" t="s">
        <v>28</v>
      </c>
    </row>
    <row r="6" spans="1:9" ht="13.8" x14ac:dyDescent="0.25">
      <c r="A6" s="32">
        <v>45799</v>
      </c>
      <c r="B6" s="29" t="s">
        <v>116</v>
      </c>
      <c r="C6" s="33" t="str">
        <f>PROPER(CONCATENATE(Table1[[#This Row],[Brand Name]]," ",Table1[[#This Row],[Product Name]]))</f>
        <v>North Face Backpack</v>
      </c>
      <c r="D6" s="33">
        <v>70</v>
      </c>
      <c r="E6" s="34">
        <f>IF(Table1[[#This Row],[Price ($)]]="",AVERAGEIF($G$2:$G$32,Table13_1!$G6,$D$2:$D$32),Table1[[#This Row],[Price ($)]])</f>
        <v>70</v>
      </c>
      <c r="F6" s="29">
        <v>20</v>
      </c>
      <c r="G6" s="33" t="s">
        <v>59</v>
      </c>
      <c r="I6" s="35">
        <f>COUNTIF(G2:G32,"Electronics")</f>
        <v>14</v>
      </c>
    </row>
    <row r="7" spans="1:9" ht="13.8" x14ac:dyDescent="0.25">
      <c r="A7" s="32">
        <v>45815</v>
      </c>
      <c r="B7" s="29" t="s">
        <v>118</v>
      </c>
      <c r="C7" s="33" t="str">
        <f>PROPER(CONCATENATE(Table1[[#This Row],[Brand Name]]," ",Table1[[#This Row],[Product Name]]))</f>
        <v>Sony Headphones</v>
      </c>
      <c r="D7" s="33"/>
      <c r="E7" s="34">
        <f>IF(Table1[[#This Row],[Price ($)]]="",AVERAGEIF($G$2:$G$32,Table13_1!$G7,$D$2:$D$32),Table1[[#This Row],[Price ($)]])</f>
        <v>522.30769230769226</v>
      </c>
      <c r="F7" s="29">
        <v>45</v>
      </c>
      <c r="G7" s="33" t="s">
        <v>28</v>
      </c>
      <c r="I7" s="36">
        <f>AVERAGEIF(G2:G32,"Electronics",Table13_1!$D$2:$D$32)</f>
        <v>522.30769230769226</v>
      </c>
    </row>
    <row r="8" spans="1:9" ht="13.8" x14ac:dyDescent="0.25">
      <c r="A8" s="32">
        <v>45857</v>
      </c>
      <c r="B8" s="29" t="s">
        <v>118</v>
      </c>
      <c r="C8" s="33" t="str">
        <f>PROPER(CONCATENATE(Table1[[#This Row],[Brand Name]]," ",Table1[[#This Row],[Product Name]]))</f>
        <v>Adidas T-Shirt</v>
      </c>
      <c r="D8" s="33">
        <v>30</v>
      </c>
      <c r="E8" s="34">
        <f>IF(Table1[[#This Row],[Price ($)]]="",AVERAGEIF($G$2:$G$32,Table13_1!$G8,$D$2:$D$32),Table1[[#This Row],[Price ($)]])</f>
        <v>30</v>
      </c>
      <c r="F8" s="29">
        <v>5</v>
      </c>
      <c r="G8" s="33" t="s">
        <v>32</v>
      </c>
    </row>
    <row r="9" spans="1:9" ht="13.8" x14ac:dyDescent="0.25">
      <c r="A9" s="32">
        <v>45892</v>
      </c>
      <c r="B9" s="29" t="s">
        <v>118</v>
      </c>
      <c r="C9" s="33" t="str">
        <f>PROPER(CONCATENATE(Table1[[#This Row],[Brand Name]]," ",Table1[[#This Row],[Product Name]]))</f>
        <v>Ninja Blender</v>
      </c>
      <c r="D9" s="33">
        <v>90</v>
      </c>
      <c r="E9" s="34">
        <f>IF(Table1[[#This Row],[Price ($)]]="",AVERAGEIF($G$2:$G$32,Table13_1!$G9,$D$2:$D$32),Table1[[#This Row],[Price ($)]])</f>
        <v>90</v>
      </c>
      <c r="F9" s="29">
        <v>35</v>
      </c>
      <c r="G9" s="33" t="s">
        <v>36</v>
      </c>
    </row>
    <row r="10" spans="1:9" ht="13.8" x14ac:dyDescent="0.25">
      <c r="A10" s="32">
        <v>45905</v>
      </c>
      <c r="B10" s="29" t="s">
        <v>118</v>
      </c>
      <c r="C10" s="33" t="str">
        <f>PROPER(CONCATENATE(Table1[[#This Row],[Brand Name]]," ",Table1[[#This Row],[Product Name]]))</f>
        <v>Apple Tablet</v>
      </c>
      <c r="D10" s="33">
        <v>500</v>
      </c>
      <c r="E10" s="34">
        <f>IF(Table1[[#This Row],[Price ($)]]="",AVERAGEIF($G$2:$G$32,Table13_1!$G10,$D$2:$D$32),Table1[[#This Row],[Price ($)]])</f>
        <v>500</v>
      </c>
      <c r="F10" s="29">
        <v>50</v>
      </c>
      <c r="G10" s="33" t="s">
        <v>28</v>
      </c>
    </row>
    <row r="11" spans="1:9" ht="13.8" x14ac:dyDescent="0.25">
      <c r="A11" s="32">
        <v>45944</v>
      </c>
      <c r="B11" s="29" t="s">
        <v>118</v>
      </c>
      <c r="C11" s="33" t="str">
        <f>PROPER(CONCATENATE(Table1[[#This Row],[Brand Name]]," ",Table1[[#This Row],[Product Name]]))</f>
        <v>Timberland Hiking Boots</v>
      </c>
      <c r="D11" s="33">
        <v>130</v>
      </c>
      <c r="E11" s="34">
        <f>IF(Table1[[#This Row],[Price ($)]]="",AVERAGEIF($G$2:$G$32,Table13_1!$G11,$D$2:$D$32),Table1[[#This Row],[Price ($)]])</f>
        <v>130</v>
      </c>
      <c r="F11" s="29">
        <v>10</v>
      </c>
      <c r="G11" s="33" t="s">
        <v>59</v>
      </c>
    </row>
    <row r="12" spans="1:9" ht="13.8" x14ac:dyDescent="0.25">
      <c r="A12" s="32">
        <v>45825</v>
      </c>
      <c r="B12" s="29" t="s">
        <v>119</v>
      </c>
      <c r="C12" s="33" t="str">
        <f>PROPER(CONCATENATE(Table1[[#This Row],[Brand Name]]," ",Table1[[#This Row],[Product Name]]))</f>
        <v>Hp Laptop</v>
      </c>
      <c r="D12" s="33">
        <v>950</v>
      </c>
      <c r="E12" s="34">
        <f>IF(Table1[[#This Row],[Price ($)]]="",AVERAGEIF($G$2:$G$32,Table13_1!$G12,$D$2:$D$32),Table1[[#This Row],[Price ($)]])</f>
        <v>950</v>
      </c>
      <c r="F12" s="29">
        <v>25</v>
      </c>
      <c r="G12" s="33" t="s">
        <v>28</v>
      </c>
    </row>
    <row r="13" spans="1:9" ht="13.8" x14ac:dyDescent="0.25">
      <c r="A13" s="32">
        <v>45986</v>
      </c>
      <c r="B13" s="29" t="s">
        <v>120</v>
      </c>
      <c r="C13" s="33" t="str">
        <f>PROPER(CONCATENATE(Table1[[#This Row],[Brand Name]]," ",Table1[[#This Row],[Product Name]]))</f>
        <v>Adidas Sneakers</v>
      </c>
      <c r="D13" s="33">
        <v>90</v>
      </c>
      <c r="E13" s="34">
        <f>IF(Table1[[#This Row],[Price ($)]]="",AVERAGEIF($G$2:$G$32,Table13_1!$G13,$D$2:$D$32),Table1[[#This Row],[Price ($)]])</f>
        <v>90</v>
      </c>
      <c r="F13" s="29">
        <v>40</v>
      </c>
      <c r="G13" s="33" t="s">
        <v>32</v>
      </c>
    </row>
    <row r="14" spans="1:9" ht="13.8" x14ac:dyDescent="0.25">
      <c r="A14" s="32">
        <v>45999</v>
      </c>
      <c r="B14" s="29" t="s">
        <v>121</v>
      </c>
      <c r="C14" s="33" t="str">
        <f>PROPER(CONCATENATE(Table1[[#This Row],[Brand Name]]," ",Table1[[#This Row],[Product Name]]))</f>
        <v>Nespresso Coffee Maker</v>
      </c>
      <c r="D14" s="33">
        <v>120</v>
      </c>
      <c r="E14" s="34">
        <f>IF(Table1[[#This Row],[Price ($)]]="",AVERAGEIF($G$2:$G$32,Table13_1!$G14,$D$2:$D$32),Table1[[#This Row],[Price ($)]])</f>
        <v>120</v>
      </c>
      <c r="F14" s="29">
        <v>35</v>
      </c>
      <c r="G14" s="33" t="s">
        <v>28</v>
      </c>
    </row>
    <row r="15" spans="1:9" ht="13.8" x14ac:dyDescent="0.25">
      <c r="A15" s="32">
        <v>45706</v>
      </c>
      <c r="B15" s="29" t="s">
        <v>122</v>
      </c>
      <c r="C15" s="33" t="str">
        <f>PROPER(CONCATENATE(Table1[[#This Row],[Brand Name]]," ",Table1[[#This Row],[Product Name]]))</f>
        <v>Fitbit Smartwatch</v>
      </c>
      <c r="D15" s="33">
        <v>150</v>
      </c>
      <c r="E15" s="34">
        <f>IF(Table1[[#This Row],[Price ($)]]="",AVERAGEIF($G$2:$G$32,Table13_1!$G15,$D$2:$D$32),Table1[[#This Row],[Price ($)]])</f>
        <v>150</v>
      </c>
      <c r="F15" s="29">
        <v>15</v>
      </c>
      <c r="G15" s="33" t="s">
        <v>28</v>
      </c>
    </row>
    <row r="16" spans="1:9" ht="13.8" x14ac:dyDescent="0.25">
      <c r="A16" s="32">
        <v>45763</v>
      </c>
      <c r="B16" s="29" t="s">
        <v>123</v>
      </c>
      <c r="C16" s="33" t="str">
        <f>PROPER(CONCATENATE(Table1[[#This Row],[Brand Name]]," ",Table1[[#This Row],[Product Name]]))</f>
        <v>Bose Headphones</v>
      </c>
      <c r="D16" s="33">
        <v>250</v>
      </c>
      <c r="E16" s="34">
        <f>IF(Table1[[#This Row],[Price ($)]]="",AVERAGEIF($G$2:$G$32,Table13_1!$G16,$D$2:$D$32),Table1[[#This Row],[Price ($)]])</f>
        <v>250</v>
      </c>
      <c r="F16" s="29">
        <v>20</v>
      </c>
      <c r="G16" s="33" t="s">
        <v>28</v>
      </c>
    </row>
    <row r="17" spans="1:7" ht="13.8" x14ac:dyDescent="0.25">
      <c r="A17" s="32">
        <v>45890</v>
      </c>
      <c r="B17" s="29" t="s">
        <v>122</v>
      </c>
      <c r="C17" s="33" t="str">
        <f>PROPER(CONCATENATE(Table1[[#This Row],[Brand Name]]," ",Table1[[#This Row],[Product Name]]))</f>
        <v>Samsonite Laptop Bag</v>
      </c>
      <c r="D17" s="33">
        <v>50</v>
      </c>
      <c r="E17" s="34">
        <f>IF(Table1[[#This Row],[Price ($)]]="",AVERAGEIF($G$2:$G$32,Table13_1!$G17,$D$2:$D$32),Table1[[#This Row],[Price ($)]])</f>
        <v>50</v>
      </c>
      <c r="F17" s="29">
        <v>35</v>
      </c>
      <c r="G17" s="33" t="s">
        <v>75</v>
      </c>
    </row>
    <row r="18" spans="1:7" ht="13.8" x14ac:dyDescent="0.25">
      <c r="A18" s="32">
        <v>45889</v>
      </c>
      <c r="B18" s="29" t="s">
        <v>124</v>
      </c>
      <c r="C18" s="33" t="str">
        <f>PROPER(CONCATENATE(Table1[[#This Row],[Brand Name]]," ",Table1[[#This Row],[Product Name]]))</f>
        <v>Huawei Smartwatch</v>
      </c>
      <c r="D18" s="33">
        <v>160</v>
      </c>
      <c r="E18" s="34">
        <f>IF(Table1[[#This Row],[Price ($)]]="",AVERAGEIF($G$2:$G$32,Table13_1!$G18,$D$2:$D$32),Table1[[#This Row],[Price ($)]])</f>
        <v>160</v>
      </c>
      <c r="F18" s="29">
        <v>15</v>
      </c>
      <c r="G18" s="33" t="s">
        <v>28</v>
      </c>
    </row>
    <row r="19" spans="1:7" ht="13.8" x14ac:dyDescent="0.25">
      <c r="A19" s="32">
        <v>45684</v>
      </c>
      <c r="B19" s="29" t="s">
        <v>125</v>
      </c>
      <c r="C19" s="33" t="str">
        <f>PROPER(CONCATENATE(Table1[[#This Row],[Brand Name]]," ",Table1[[#This Row],[Product Name]]))</f>
        <v>Asus Laptop</v>
      </c>
      <c r="D19" s="33">
        <v>980</v>
      </c>
      <c r="E19" s="34">
        <f>IF(Table1[[#This Row],[Price ($)]]="",AVERAGEIF($G$2:$G$32,Table13_1!$G19,$D$2:$D$32),Table1[[#This Row],[Price ($)]])</f>
        <v>980</v>
      </c>
      <c r="F19" s="29">
        <v>10</v>
      </c>
      <c r="G19" s="33" t="s">
        <v>28</v>
      </c>
    </row>
    <row r="20" spans="1:7" ht="13.8" x14ac:dyDescent="0.25">
      <c r="A20" s="32">
        <v>45717</v>
      </c>
      <c r="B20" s="29" t="s">
        <v>118</v>
      </c>
      <c r="C20" s="33" t="str">
        <f>PROPER(CONCATENATE(Table1[[#This Row],[Brand Name]]," ",Table1[[#This Row],[Product Name]]))</f>
        <v>Oakley Sunglasses</v>
      </c>
      <c r="D20" s="33">
        <v>150</v>
      </c>
      <c r="E20" s="34">
        <f>IF(Table1[[#This Row],[Price ($)]]="",AVERAGEIF($G$2:$G$32,Table13_1!$G20,$D$2:$D$32),Table1[[#This Row],[Price ($)]])</f>
        <v>150</v>
      </c>
      <c r="F20" s="29">
        <v>15</v>
      </c>
      <c r="G20" s="33" t="s">
        <v>32</v>
      </c>
    </row>
    <row r="21" spans="1:7" ht="13.8" x14ac:dyDescent="0.25">
      <c r="A21" s="32">
        <v>45883</v>
      </c>
      <c r="B21" s="29" t="s">
        <v>116</v>
      </c>
      <c r="C21" s="33" t="str">
        <f>PROPER(CONCATENATE(Table1[[#This Row],[Brand Name]]," ",Table1[[#This Row],[Product Name]]))</f>
        <v>Coleman Camping Tent</v>
      </c>
      <c r="D21" s="33"/>
      <c r="E21" s="34">
        <f>IF(Table1[[#This Row],[Price ($)]]="",AVERAGEIF($G$2:$G$32,Table13_1!$G21,$D$2:$D$32),Table1[[#This Row],[Price ($)]])</f>
        <v>100</v>
      </c>
      <c r="F21" s="29">
        <v>10</v>
      </c>
      <c r="G21" s="33" t="s">
        <v>59</v>
      </c>
    </row>
    <row r="22" spans="1:7" ht="13.8" x14ac:dyDescent="0.25">
      <c r="A22" s="32">
        <v>45791</v>
      </c>
      <c r="B22" s="29" t="s">
        <v>126</v>
      </c>
      <c r="C22" s="33" t="str">
        <f>PROPER(CONCATENATE(Table1[[#This Row],[Brand Name]]," ",Table1[[#This Row],[Product Name]]))</f>
        <v>Nikon Camera</v>
      </c>
      <c r="D22" s="33">
        <v>700</v>
      </c>
      <c r="E22" s="34">
        <f>IF(Table1[[#This Row],[Price ($)]]="",AVERAGEIF($G$2:$G$32,Table13_1!$G22,$D$2:$D$32),Table1[[#This Row],[Price ($)]])</f>
        <v>700</v>
      </c>
      <c r="F22" s="29">
        <v>50</v>
      </c>
      <c r="G22" s="33" t="s">
        <v>28</v>
      </c>
    </row>
    <row r="23" spans="1:7" ht="13.8" x14ac:dyDescent="0.25">
      <c r="A23" s="32">
        <v>45666</v>
      </c>
      <c r="B23" s="29" t="s">
        <v>122</v>
      </c>
      <c r="C23" s="33" t="str">
        <f>PROPER(CONCATENATE(Table1[[#This Row],[Brand Name]]," ",Table1[[#This Row],[Product Name]]))</f>
        <v>Panasonic Microwave</v>
      </c>
      <c r="D23" s="33">
        <v>80</v>
      </c>
      <c r="E23" s="34">
        <f>IF(Table1[[#This Row],[Price ($)]]="",AVERAGEIF($G$2:$G$32,Table13_1!$G23,$D$2:$D$32),Table1[[#This Row],[Price ($)]])</f>
        <v>80</v>
      </c>
      <c r="F23" s="29">
        <v>20</v>
      </c>
      <c r="G23" s="33" t="s">
        <v>36</v>
      </c>
    </row>
    <row r="24" spans="1:7" ht="13.8" x14ac:dyDescent="0.25">
      <c r="A24" s="32">
        <v>45857</v>
      </c>
      <c r="B24" s="29" t="s">
        <v>127</v>
      </c>
      <c r="C24" s="33" t="str">
        <f>PROPER(CONCATENATE(Table1[[#This Row],[Brand Name]]," ",Table1[[#This Row],[Product Name]]))</f>
        <v>Xiaomi Fitness Tracker</v>
      </c>
      <c r="D24" s="33">
        <v>150</v>
      </c>
      <c r="E24" s="34">
        <f>IF(Table1[[#This Row],[Price ($)]]="",AVERAGEIF($G$2:$G$32,Table13_1!$G24,$D$2:$D$32),Table1[[#This Row],[Price ($)]])</f>
        <v>150</v>
      </c>
      <c r="F24" s="29">
        <v>30</v>
      </c>
      <c r="G24" s="33" t="s">
        <v>28</v>
      </c>
    </row>
    <row r="25" spans="1:7" ht="13.8" x14ac:dyDescent="0.25">
      <c r="A25" s="32">
        <v>45929</v>
      </c>
      <c r="B25" s="29" t="s">
        <v>122</v>
      </c>
      <c r="C25" s="33" t="str">
        <f>PROPER(CONCATENATE(Table1[[#This Row],[Brand Name]]," ",Table1[[#This Row],[Product Name]]))</f>
        <v>Google Smartphone</v>
      </c>
      <c r="D25" s="33">
        <v>800</v>
      </c>
      <c r="E25" s="34">
        <f>IF(Table1[[#This Row],[Price ($)]]="",AVERAGEIF($G$2:$G$32,Table13_1!$G25,$D$2:$D$32),Table1[[#This Row],[Price ($)]])</f>
        <v>800</v>
      </c>
      <c r="F25" s="29">
        <v>45</v>
      </c>
      <c r="G25" s="33" t="s">
        <v>28</v>
      </c>
    </row>
    <row r="26" spans="1:7" ht="13.8" x14ac:dyDescent="0.25">
      <c r="A26" s="32">
        <v>45811</v>
      </c>
      <c r="B26" s="29" t="s">
        <v>122</v>
      </c>
      <c r="C26" s="33" t="str">
        <f>PROPER(CONCATENATE(Table1[[#This Row],[Brand Name]]," ",Table1[[#This Row],[Product Name]]))</f>
        <v>Ray-Ban Sunglasses</v>
      </c>
      <c r="D26" s="33"/>
      <c r="E26" s="34">
        <f>IF(Table1[[#This Row],[Price ($)]]="",AVERAGEIF($G$2:$G$32,Table13_1!$G26,$D$2:$D$32),Table1[[#This Row],[Price ($)]])</f>
        <v>76.666666666666671</v>
      </c>
      <c r="F26" s="29">
        <v>25</v>
      </c>
      <c r="G26" s="33" t="s">
        <v>32</v>
      </c>
    </row>
    <row r="27" spans="1:7" ht="13.8" x14ac:dyDescent="0.25">
      <c r="A27" s="32">
        <v>45849</v>
      </c>
      <c r="B27" s="29" t="s">
        <v>122</v>
      </c>
      <c r="C27" s="33" t="str">
        <f>PROPER(CONCATENATE(Table1[[#This Row],[Brand Name]]," ",Table1[[#This Row],[Product Name]]))</f>
        <v>Vitamix Blender</v>
      </c>
      <c r="D27" s="33">
        <v>400</v>
      </c>
      <c r="E27" s="34">
        <f>IF(Table1[[#This Row],[Price ($)]]="",AVERAGEIF($G$2:$G$32,Table13_1!$G27,$D$2:$D$32),Table1[[#This Row],[Price ($)]])</f>
        <v>400</v>
      </c>
      <c r="F27" s="29">
        <v>40</v>
      </c>
      <c r="G27" s="33" t="s">
        <v>36</v>
      </c>
    </row>
    <row r="28" spans="1:7" ht="13.8" x14ac:dyDescent="0.25">
      <c r="A28" s="32">
        <v>45723</v>
      </c>
      <c r="B28" s="29" t="s">
        <v>122</v>
      </c>
      <c r="C28" s="33" t="str">
        <f>PROPER(CONCATENATE(Table1[[#This Row],[Brand Name]]," ",Table1[[#This Row],[Product Name]]))</f>
        <v>Zara Dress</v>
      </c>
      <c r="D28" s="33">
        <v>60</v>
      </c>
      <c r="E28" s="34">
        <f>IF(Table1[[#This Row],[Price ($)]]="",AVERAGEIF($G$2:$G$32,Table13_1!$G28,$D$2:$D$32),Table1[[#This Row],[Price ($)]])</f>
        <v>60</v>
      </c>
      <c r="F28" s="29">
        <v>30</v>
      </c>
      <c r="G28" s="33" t="s">
        <v>32</v>
      </c>
    </row>
    <row r="29" spans="1:7" ht="13.8" x14ac:dyDescent="0.25">
      <c r="A29" s="32">
        <v>45760</v>
      </c>
      <c r="B29" s="29" t="s">
        <v>122</v>
      </c>
      <c r="C29" s="33" t="str">
        <f>PROPER(CONCATENATE(Table1[[#This Row],[Brand Name]]," ",Table1[[#This Row],[Product Name]]))</f>
        <v>Hamilton Toaster</v>
      </c>
      <c r="D29" s="33">
        <v>40</v>
      </c>
      <c r="E29" s="34">
        <f>IF(Table1[[#This Row],[Price ($)]]="",AVERAGEIF($G$2:$G$32,Table13_1!$G29,$D$2:$D$32),Table1[[#This Row],[Price ($)]])</f>
        <v>40</v>
      </c>
      <c r="F29" s="29">
        <v>10</v>
      </c>
      <c r="G29" s="33" t="s">
        <v>36</v>
      </c>
    </row>
    <row r="30" spans="1:7" ht="13.8" x14ac:dyDescent="0.25">
      <c r="A30" s="32">
        <v>45801</v>
      </c>
      <c r="B30" s="29" t="s">
        <v>122</v>
      </c>
      <c r="C30" s="33" t="str">
        <f>PROPER(CONCATENATE(Table1[[#This Row],[Brand Name]]," ",Table1[[#This Row],[Product Name]]))</f>
        <v>Garmin Fitness Tracker</v>
      </c>
      <c r="D30" s="33">
        <v>130</v>
      </c>
      <c r="E30" s="34">
        <f>IF(Table1[[#This Row],[Price ($)]]="",AVERAGEIF($G$2:$G$32,Table13_1!$G30,$D$2:$D$32),Table1[[#This Row],[Price ($)]])</f>
        <v>130</v>
      </c>
      <c r="F30" s="29">
        <v>5</v>
      </c>
      <c r="G30" s="33" t="s">
        <v>28</v>
      </c>
    </row>
    <row r="31" spans="1:7" ht="13.8" x14ac:dyDescent="0.25">
      <c r="A31" s="32">
        <v>45993</v>
      </c>
      <c r="B31" s="29" t="s">
        <v>122</v>
      </c>
      <c r="C31" s="33" t="str">
        <f>PROPER(CONCATENATE(Table1[[#This Row],[Brand Name]]," ",Table1[[#This Row],[Product Name]]))</f>
        <v>Levi'S Jeans</v>
      </c>
      <c r="D31" s="33">
        <v>50</v>
      </c>
      <c r="E31" s="34">
        <f>IF(Table1[[#This Row],[Price ($)]]="",AVERAGEIF($G$2:$G$32,Table13_1!$G31,$D$2:$D$32),Table1[[#This Row],[Price ($)]])</f>
        <v>50</v>
      </c>
      <c r="F31" s="29">
        <v>50</v>
      </c>
      <c r="G31" s="33" t="s">
        <v>32</v>
      </c>
    </row>
    <row r="32" spans="1:7" ht="13.8" x14ac:dyDescent="0.25">
      <c r="A32" s="32">
        <v>45847</v>
      </c>
      <c r="B32" s="29" t="s">
        <v>128</v>
      </c>
      <c r="C32" s="33" t="str">
        <f>PROPER(CONCATENATE(Table1[[#This Row],[Brand Name]]," ",Table1[[#This Row],[Product Name]]))</f>
        <v>Casio Watch</v>
      </c>
      <c r="D32" s="33">
        <v>100</v>
      </c>
      <c r="E32" s="34">
        <f>IF(Table1[[#This Row],[Price ($)]]="",AVERAGEIF($G$2:$G$32,Table13_1!$G32,$D$2:$D$32),Table1[[#This Row],[Price ($)]])</f>
        <v>100</v>
      </c>
      <c r="F32" s="29">
        <v>20</v>
      </c>
      <c r="G32" s="33" t="s">
        <v>75</v>
      </c>
    </row>
  </sheetData>
  <phoneticPr fontId="13" type="noConversion"/>
  <conditionalFormatting sqref="E2:E3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{E745CEBA-9018-459D-A81F-2BB7698C590F}</x14:id>
        </ext>
      </extLst>
    </cfRule>
  </conditionalFormatting>
  <conditionalFormatting sqref="G2:G32">
    <cfRule type="containsText" dxfId="1" priority="1" operator="containsText" text="Electronics">
      <formula>NOT(ISERROR(SEARCH("Electronics",G2)))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45CEBA-9018-459D-A81F-2BB7698C59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E2:E32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B8DFA-D541-4705-80CF-7EA2A6325F70}">
  <dimension ref="A1:F32"/>
  <sheetViews>
    <sheetView workbookViewId="0">
      <selection activeCell="B1" sqref="B1:B32"/>
    </sheetView>
  </sheetViews>
  <sheetFormatPr defaultRowHeight="13.2" x14ac:dyDescent="0.25"/>
  <cols>
    <col min="1" max="1" width="14.77734375" bestFit="1" customWidth="1"/>
    <col min="2" max="2" width="21.44140625" bestFit="1" customWidth="1"/>
    <col min="3" max="3" width="12.77734375" bestFit="1" customWidth="1"/>
    <col min="4" max="4" width="12.88671875" bestFit="1" customWidth="1"/>
    <col min="5" max="5" width="13.44140625" bestFit="1" customWidth="1"/>
    <col min="6" max="6" width="13.109375" bestFit="1" customWidth="1"/>
  </cols>
  <sheetData>
    <row r="1" spans="1:6" x14ac:dyDescent="0.25">
      <c r="A1" s="7" t="s">
        <v>19</v>
      </c>
      <c r="B1" t="s">
        <v>136</v>
      </c>
      <c r="C1" s="7" t="s">
        <v>22</v>
      </c>
      <c r="D1" s="7" t="s">
        <v>23</v>
      </c>
      <c r="E1" s="7" t="s">
        <v>24</v>
      </c>
      <c r="F1" s="7" t="s">
        <v>130</v>
      </c>
    </row>
    <row r="2" spans="1:6" x14ac:dyDescent="0.25">
      <c r="A2" s="9" t="s">
        <v>25</v>
      </c>
      <c r="C2" s="9">
        <v>1000</v>
      </c>
      <c r="D2" s="9">
        <v>30</v>
      </c>
      <c r="E2" s="9" t="s">
        <v>134</v>
      </c>
      <c r="F2" s="8"/>
    </row>
    <row r="3" spans="1:6" x14ac:dyDescent="0.25">
      <c r="A3" s="8" t="s">
        <v>29</v>
      </c>
      <c r="C3" s="8">
        <v>80</v>
      </c>
      <c r="D3" s="8">
        <v>15</v>
      </c>
      <c r="E3" s="8" t="s">
        <v>32</v>
      </c>
      <c r="F3" s="8"/>
    </row>
    <row r="4" spans="1:6" x14ac:dyDescent="0.25">
      <c r="A4" s="9" t="s">
        <v>33</v>
      </c>
      <c r="C4" s="9">
        <v>130</v>
      </c>
      <c r="D4" s="9">
        <v>40</v>
      </c>
      <c r="E4" s="9" t="s">
        <v>36</v>
      </c>
      <c r="F4" s="8"/>
    </row>
    <row r="5" spans="1:6" x14ac:dyDescent="0.25">
      <c r="A5" s="8" t="s">
        <v>37</v>
      </c>
      <c r="C5" s="8">
        <v>900</v>
      </c>
      <c r="D5" s="8">
        <v>25</v>
      </c>
      <c r="E5" s="8" t="s">
        <v>134</v>
      </c>
      <c r="F5" s="8"/>
    </row>
    <row r="6" spans="1:6" x14ac:dyDescent="0.25">
      <c r="A6" s="9" t="s">
        <v>40</v>
      </c>
      <c r="C6" s="9">
        <v>70</v>
      </c>
      <c r="D6" s="9">
        <v>20</v>
      </c>
      <c r="E6" s="9"/>
      <c r="F6" s="8"/>
    </row>
    <row r="7" spans="1:6" x14ac:dyDescent="0.25">
      <c r="A7" s="8" t="s">
        <v>43</v>
      </c>
      <c r="C7" s="8"/>
      <c r="D7" s="8">
        <v>45</v>
      </c>
      <c r="E7" s="8" t="s">
        <v>134</v>
      </c>
      <c r="F7" s="8"/>
    </row>
    <row r="8" spans="1:6" x14ac:dyDescent="0.25">
      <c r="A8" s="9" t="s">
        <v>47</v>
      </c>
      <c r="C8" s="9">
        <v>30</v>
      </c>
      <c r="D8" s="9">
        <v>5</v>
      </c>
      <c r="E8" s="9" t="s">
        <v>32</v>
      </c>
      <c r="F8" s="8"/>
    </row>
    <row r="9" spans="1:6" x14ac:dyDescent="0.25">
      <c r="A9" s="8" t="s">
        <v>50</v>
      </c>
      <c r="C9" s="8">
        <v>90</v>
      </c>
      <c r="D9" s="8">
        <v>35</v>
      </c>
      <c r="E9" s="8" t="s">
        <v>36</v>
      </c>
      <c r="F9" s="8"/>
    </row>
    <row r="10" spans="1:6" x14ac:dyDescent="0.25">
      <c r="A10" s="9" t="s">
        <v>53</v>
      </c>
      <c r="C10" s="9">
        <v>500</v>
      </c>
      <c r="D10" s="9">
        <v>50</v>
      </c>
      <c r="E10" s="9" t="s">
        <v>135</v>
      </c>
      <c r="F10" s="8"/>
    </row>
    <row r="11" spans="1:6" x14ac:dyDescent="0.25">
      <c r="A11" s="8" t="s">
        <v>56</v>
      </c>
      <c r="C11" s="8">
        <v>130</v>
      </c>
      <c r="D11" s="8">
        <v>10</v>
      </c>
      <c r="E11" s="8" t="s">
        <v>59</v>
      </c>
      <c r="F11" s="8"/>
    </row>
    <row r="12" spans="1:6" x14ac:dyDescent="0.25">
      <c r="A12" s="9" t="s">
        <v>60</v>
      </c>
      <c r="C12" s="9">
        <v>950</v>
      </c>
      <c r="D12" s="9">
        <v>25</v>
      </c>
      <c r="E12" s="9" t="s">
        <v>135</v>
      </c>
      <c r="F12" s="8"/>
    </row>
    <row r="13" spans="1:6" x14ac:dyDescent="0.25">
      <c r="A13" s="8" t="s">
        <v>63</v>
      </c>
      <c r="C13" s="8">
        <v>90</v>
      </c>
      <c r="D13" s="8">
        <v>40</v>
      </c>
      <c r="E13" s="8"/>
      <c r="F13" s="8"/>
    </row>
    <row r="14" spans="1:6" x14ac:dyDescent="0.25">
      <c r="A14" s="9" t="s">
        <v>64</v>
      </c>
      <c r="C14" s="9">
        <v>120</v>
      </c>
      <c r="D14" s="9">
        <v>35</v>
      </c>
      <c r="E14" s="9"/>
      <c r="F14" s="8"/>
    </row>
    <row r="15" spans="1:6" x14ac:dyDescent="0.25">
      <c r="A15" s="8" t="s">
        <v>66</v>
      </c>
      <c r="C15" s="8">
        <v>150</v>
      </c>
      <c r="D15" s="8">
        <v>15</v>
      </c>
      <c r="E15" s="8" t="s">
        <v>134</v>
      </c>
      <c r="F15" s="8"/>
    </row>
    <row r="16" spans="1:6" x14ac:dyDescent="0.25">
      <c r="A16" s="9" t="s">
        <v>69</v>
      </c>
      <c r="C16" s="9">
        <v>250</v>
      </c>
      <c r="D16" s="9">
        <v>20</v>
      </c>
      <c r="E16" s="9" t="s">
        <v>134</v>
      </c>
      <c r="F16" s="8"/>
    </row>
    <row r="17" spans="1:6" x14ac:dyDescent="0.25">
      <c r="A17" s="8" t="s">
        <v>72</v>
      </c>
      <c r="C17" s="8">
        <v>50</v>
      </c>
      <c r="D17" s="8">
        <v>35</v>
      </c>
      <c r="E17" s="8" t="s">
        <v>75</v>
      </c>
      <c r="F17" s="8"/>
    </row>
    <row r="18" spans="1:6" x14ac:dyDescent="0.25">
      <c r="A18" s="9" t="s">
        <v>76</v>
      </c>
      <c r="C18" s="9">
        <v>160</v>
      </c>
      <c r="D18" s="9">
        <v>15</v>
      </c>
      <c r="E18" s="9" t="s">
        <v>134</v>
      </c>
      <c r="F18" s="8"/>
    </row>
    <row r="19" spans="1:6" x14ac:dyDescent="0.25">
      <c r="A19" s="8" t="s">
        <v>78</v>
      </c>
      <c r="C19" s="8">
        <v>980</v>
      </c>
      <c r="D19" s="8">
        <v>10</v>
      </c>
      <c r="E19" s="8" t="s">
        <v>135</v>
      </c>
      <c r="F19" s="8"/>
    </row>
    <row r="20" spans="1:6" x14ac:dyDescent="0.25">
      <c r="A20" s="9" t="s">
        <v>80</v>
      </c>
      <c r="C20" s="9">
        <v>150</v>
      </c>
      <c r="D20" s="9">
        <v>15</v>
      </c>
      <c r="E20" s="9" t="s">
        <v>32</v>
      </c>
      <c r="F20" s="8"/>
    </row>
    <row r="21" spans="1:6" x14ac:dyDescent="0.25">
      <c r="A21" s="8" t="s">
        <v>83</v>
      </c>
      <c r="C21" s="8"/>
      <c r="D21" s="8">
        <v>10</v>
      </c>
      <c r="E21" s="8" t="s">
        <v>59</v>
      </c>
      <c r="F21" s="8"/>
    </row>
    <row r="22" spans="1:6" x14ac:dyDescent="0.25">
      <c r="A22" s="9" t="s">
        <v>86</v>
      </c>
      <c r="C22" s="9">
        <v>700</v>
      </c>
      <c r="D22" s="9">
        <v>50</v>
      </c>
      <c r="E22" s="9" t="s">
        <v>135</v>
      </c>
      <c r="F22" s="8"/>
    </row>
    <row r="23" spans="1:6" x14ac:dyDescent="0.25">
      <c r="A23" s="8" t="s">
        <v>89</v>
      </c>
      <c r="C23" s="8">
        <v>80</v>
      </c>
      <c r="D23" s="8">
        <v>20</v>
      </c>
      <c r="E23" s="8" t="s">
        <v>36</v>
      </c>
      <c r="F23" s="8"/>
    </row>
    <row r="24" spans="1:6" x14ac:dyDescent="0.25">
      <c r="A24" s="9" t="s">
        <v>92</v>
      </c>
      <c r="C24" s="9">
        <v>150</v>
      </c>
      <c r="D24" s="9">
        <v>30</v>
      </c>
      <c r="E24" s="9"/>
      <c r="F24" s="8"/>
    </row>
    <row r="25" spans="1:6" x14ac:dyDescent="0.25">
      <c r="A25" s="9" t="s">
        <v>95</v>
      </c>
      <c r="C25" s="9">
        <v>800</v>
      </c>
      <c r="D25" s="9">
        <v>45</v>
      </c>
      <c r="E25" s="9" t="s">
        <v>135</v>
      </c>
      <c r="F25" s="8"/>
    </row>
    <row r="26" spans="1:6" x14ac:dyDescent="0.25">
      <c r="A26" s="8" t="s">
        <v>98</v>
      </c>
      <c r="C26" s="8"/>
      <c r="D26" s="8">
        <v>25</v>
      </c>
      <c r="E26" s="8" t="s">
        <v>32</v>
      </c>
      <c r="F26" s="8"/>
    </row>
    <row r="27" spans="1:6" x14ac:dyDescent="0.25">
      <c r="A27" s="9" t="s">
        <v>100</v>
      </c>
      <c r="C27" s="9">
        <v>400</v>
      </c>
      <c r="D27" s="9">
        <v>40</v>
      </c>
      <c r="E27" s="9" t="s">
        <v>36</v>
      </c>
      <c r="F27" s="8"/>
    </row>
    <row r="28" spans="1:6" x14ac:dyDescent="0.25">
      <c r="A28" s="9" t="s">
        <v>102</v>
      </c>
      <c r="C28" s="9">
        <v>60</v>
      </c>
      <c r="D28" s="9">
        <v>30</v>
      </c>
      <c r="E28" s="9" t="s">
        <v>32</v>
      </c>
      <c r="F28" s="8"/>
    </row>
    <row r="29" spans="1:6" x14ac:dyDescent="0.25">
      <c r="A29" s="8" t="s">
        <v>105</v>
      </c>
      <c r="C29" s="8">
        <v>40</v>
      </c>
      <c r="D29" s="8">
        <v>10</v>
      </c>
      <c r="E29" s="8" t="s">
        <v>36</v>
      </c>
      <c r="F29" s="8"/>
    </row>
    <row r="30" spans="1:6" x14ac:dyDescent="0.25">
      <c r="A30" s="9" t="s">
        <v>108</v>
      </c>
      <c r="C30" s="9">
        <v>130</v>
      </c>
      <c r="D30" s="9">
        <v>5</v>
      </c>
      <c r="E30" s="9" t="s">
        <v>134</v>
      </c>
      <c r="F30" s="8"/>
    </row>
    <row r="31" spans="1:6" x14ac:dyDescent="0.25">
      <c r="A31" s="8" t="s">
        <v>110</v>
      </c>
      <c r="C31" s="8">
        <v>50</v>
      </c>
      <c r="D31" s="8">
        <v>50</v>
      </c>
      <c r="E31" s="8" t="s">
        <v>32</v>
      </c>
      <c r="F31" s="8"/>
    </row>
    <row r="32" spans="1:6" x14ac:dyDescent="0.25">
      <c r="A32" s="8" t="s">
        <v>113</v>
      </c>
      <c r="C32" s="8">
        <v>100</v>
      </c>
      <c r="D32" s="8">
        <v>20</v>
      </c>
      <c r="E32" s="8" t="s">
        <v>75</v>
      </c>
      <c r="F32" s="8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4B8DA-E749-4973-86E5-4A7650D31075}">
  <dimension ref="A1:K32"/>
  <sheetViews>
    <sheetView workbookViewId="0">
      <selection activeCell="F19" sqref="F19"/>
    </sheetView>
  </sheetViews>
  <sheetFormatPr defaultRowHeight="13.2" x14ac:dyDescent="0.25"/>
  <cols>
    <col min="1" max="1" width="18.21875" customWidth="1"/>
    <col min="2" max="2" width="16.109375" customWidth="1"/>
    <col min="3" max="3" width="21.5546875" bestFit="1" customWidth="1"/>
    <col min="4" max="4" width="8.88671875" customWidth="1"/>
    <col min="5" max="5" width="11.33203125" customWidth="1"/>
    <col min="6" max="6" width="11.88671875" customWidth="1"/>
  </cols>
  <sheetData>
    <row r="1" spans="1:11" ht="13.8" x14ac:dyDescent="0.25">
      <c r="A1" s="24" t="s">
        <v>129</v>
      </c>
      <c r="B1" s="24" t="s">
        <v>117</v>
      </c>
      <c r="C1" s="25" t="s">
        <v>20</v>
      </c>
      <c r="D1" s="26" t="s">
        <v>131</v>
      </c>
      <c r="E1" s="24" t="s">
        <v>23</v>
      </c>
      <c r="F1" s="27" t="s">
        <v>24</v>
      </c>
      <c r="G1" s="26" t="s">
        <v>131</v>
      </c>
    </row>
    <row r="2" spans="1:11" ht="13.8" x14ac:dyDescent="0.25">
      <c r="A2" s="11">
        <v>45685</v>
      </c>
      <c r="B2" s="12" t="s">
        <v>116</v>
      </c>
      <c r="C2" s="13" t="str">
        <f>PROPER(CONCATENATE(Table1[[#This Row],[Brand Name]]," ",Table1[[#This Row],[Product Name]]))</f>
        <v>Dell Laptop</v>
      </c>
      <c r="D2" s="14">
        <f>IF(Table1[[#This Row],[Price ($)]]="",AVERAGEIF(Table1[[#This Row],[Price ($)]],Table1[[#This Row],[Category]]),Table1[[#This Row],[Price ($)]])</f>
        <v>1000</v>
      </c>
      <c r="E2" s="15">
        <v>30</v>
      </c>
      <c r="F2" s="16" t="s">
        <v>28</v>
      </c>
      <c r="G2">
        <f t="shared" ref="G2:G32" si="0">IF(D2="",AVERAGEIF(F$1:F$32,F2,$D$1:$D$32),D2)</f>
        <v>1000</v>
      </c>
    </row>
    <row r="3" spans="1:11" ht="13.8" x14ac:dyDescent="0.25">
      <c r="A3" s="17">
        <v>45686</v>
      </c>
      <c r="B3" s="18" t="s">
        <v>116</v>
      </c>
      <c r="C3" s="13" t="str">
        <f>PROPER(CONCATENATE(Table1[[#This Row],[Brand Name]]," ",Table1[[#This Row],[Product Name]]))</f>
        <v>Nike Sneakers</v>
      </c>
      <c r="D3" s="14">
        <f>IF(Table1[[#This Row],[Price ($)]]="",AVERAGEIF(Table1[[#This Row],[Price ($)]],Table1[[#This Row],[Category]]),Table1[[#This Row],[Price ($)]])</f>
        <v>80</v>
      </c>
      <c r="E3" s="19">
        <v>15</v>
      </c>
      <c r="F3" s="20" t="s">
        <v>32</v>
      </c>
      <c r="G3">
        <f t="shared" si="0"/>
        <v>80</v>
      </c>
    </row>
    <row r="4" spans="1:11" ht="13.8" x14ac:dyDescent="0.25">
      <c r="A4" s="11">
        <v>45687</v>
      </c>
      <c r="B4" s="12" t="s">
        <v>116</v>
      </c>
      <c r="C4" s="13" t="str">
        <f>PROPER(CONCATENATE(Table1[[#This Row],[Brand Name]]," ",Table1[[#This Row],[Product Name]]))</f>
        <v>Keurig Coffee Maker</v>
      </c>
      <c r="D4" s="28">
        <f>IF(Table1[[#This Row],[Price ($)]]="",AVERAGEIF(Table1[[#This Row],[Price ($)]],Table1[[#This Row],[Category]]),Table1[[#This Row],[Price ($)]])</f>
        <v>130</v>
      </c>
      <c r="E4" s="15">
        <v>40</v>
      </c>
      <c r="F4" s="16" t="s">
        <v>36</v>
      </c>
      <c r="G4">
        <f t="shared" si="0"/>
        <v>130</v>
      </c>
    </row>
    <row r="5" spans="1:11" ht="13.8" x14ac:dyDescent="0.25">
      <c r="A5" s="17">
        <v>45688</v>
      </c>
      <c r="B5" s="18" t="s">
        <v>116</v>
      </c>
      <c r="C5" s="13" t="str">
        <f>PROPER(CONCATENATE(Table1[[#This Row],[Brand Name]]," ",Table1[[#This Row],[Product Name]]))</f>
        <v>Samsung Smartphone</v>
      </c>
      <c r="D5" s="14">
        <f>IF(Table1[[#This Row],[Price ($)]]="",AVERAGEIF(Table1[[#This Row],[Price ($)]],Table1[[#This Row],[Category]]),Table1[[#This Row],[Price ($)]])</f>
        <v>900</v>
      </c>
      <c r="E5" s="19">
        <v>25</v>
      </c>
      <c r="F5" s="20" t="s">
        <v>28</v>
      </c>
      <c r="G5">
        <f t="shared" si="0"/>
        <v>900</v>
      </c>
    </row>
    <row r="6" spans="1:11" ht="13.8" x14ac:dyDescent="0.25">
      <c r="A6" s="11">
        <v>45689</v>
      </c>
      <c r="B6" s="12" t="s">
        <v>116</v>
      </c>
      <c r="C6" s="13" t="str">
        <f>PROPER(CONCATENATE(Table1[[#This Row],[Brand Name]]," ",Table1[[#This Row],[Product Name]]))</f>
        <v>North Face Backpack</v>
      </c>
      <c r="D6" s="14">
        <f>IF(Table1[[#This Row],[Price ($)]]="",AVERAGEIF(Table1[[#This Row],[Price ($)]],Table1[[#This Row],[Category]]),Table1[[#This Row],[Price ($)]])</f>
        <v>70</v>
      </c>
      <c r="E6" s="15">
        <v>20</v>
      </c>
      <c r="F6" s="16" t="s">
        <v>59</v>
      </c>
      <c r="G6">
        <f t="shared" si="0"/>
        <v>70</v>
      </c>
    </row>
    <row r="7" spans="1:11" ht="13.8" x14ac:dyDescent="0.25">
      <c r="A7" s="17">
        <v>45690</v>
      </c>
      <c r="B7" s="18" t="s">
        <v>118</v>
      </c>
      <c r="C7" s="13" t="str">
        <f>PROPER(CONCATENATE(Table1[[#This Row],[Brand Name]]," ",Table1[[#This Row],[Product Name]]))</f>
        <v>Sony Headphones</v>
      </c>
      <c r="D7" s="14"/>
      <c r="E7" s="19">
        <v>45</v>
      </c>
      <c r="F7" s="20" t="s">
        <v>28</v>
      </c>
      <c r="G7">
        <f t="shared" si="0"/>
        <v>555.83333333333337</v>
      </c>
      <c r="I7" t="s">
        <v>132</v>
      </c>
      <c r="J7">
        <f>SUMIF(F2:F32,"Kitchen",D2:D32)</f>
        <v>460</v>
      </c>
    </row>
    <row r="8" spans="1:11" ht="13.8" x14ac:dyDescent="0.25">
      <c r="A8" s="11">
        <v>45691</v>
      </c>
      <c r="B8" s="12" t="s">
        <v>118</v>
      </c>
      <c r="C8" s="13" t="str">
        <f>PROPER(CONCATENATE(Table1[[#This Row],[Brand Name]]," ",Table1[[#This Row],[Product Name]]))</f>
        <v>Adidas T-Shirt</v>
      </c>
      <c r="D8" s="14">
        <f>IF(Table1[[#This Row],[Price ($)]]="",AVERAGEIF(Table1[[#This Row],[Price ($)]],Table1[[#This Row],[Category]]),Table1[[#This Row],[Price ($)]])</f>
        <v>30</v>
      </c>
      <c r="E8" s="15">
        <v>5</v>
      </c>
      <c r="F8" s="16" t="s">
        <v>32</v>
      </c>
      <c r="G8">
        <f t="shared" si="0"/>
        <v>30</v>
      </c>
      <c r="I8" t="s">
        <v>133</v>
      </c>
      <c r="J8">
        <f>COUNTIF(F2:F32,"Kitchen")</f>
        <v>6</v>
      </c>
    </row>
    <row r="9" spans="1:11" ht="13.8" x14ac:dyDescent="0.25">
      <c r="A9" s="17">
        <v>45692</v>
      </c>
      <c r="B9" s="18" t="s">
        <v>118</v>
      </c>
      <c r="C9" s="13" t="str">
        <f>PROPER(CONCATENATE(Table1[[#This Row],[Brand Name]]," ",Table1[[#This Row],[Product Name]]))</f>
        <v>Ninja Blender</v>
      </c>
      <c r="D9" s="28">
        <f>IF(Table1[[#This Row],[Price ($)]]="",AVERAGEIF(Table1[[#This Row],[Price ($)]],Table1[[#This Row],[Category]]),Table1[[#This Row],[Price ($)]])</f>
        <v>90</v>
      </c>
      <c r="E9" s="19">
        <v>35</v>
      </c>
      <c r="F9" s="20" t="s">
        <v>36</v>
      </c>
      <c r="G9">
        <f t="shared" si="0"/>
        <v>90</v>
      </c>
    </row>
    <row r="10" spans="1:11" ht="13.8" x14ac:dyDescent="0.25">
      <c r="A10" s="11">
        <v>45693</v>
      </c>
      <c r="B10" s="12" t="s">
        <v>118</v>
      </c>
      <c r="C10" s="13" t="str">
        <f>PROPER(CONCATENATE(Table1[[#This Row],[Brand Name]]," ",Table1[[#This Row],[Product Name]]))</f>
        <v>Apple Tablet</v>
      </c>
      <c r="D10" s="14">
        <f>IF(Table1[[#This Row],[Price ($)]]="",AVERAGEIF(Table1[[#This Row],[Price ($)]],Table1[[#This Row],[Category]]),Table1[[#This Row],[Price ($)]])</f>
        <v>500</v>
      </c>
      <c r="E10" s="15">
        <v>50</v>
      </c>
      <c r="F10" s="16" t="s">
        <v>28</v>
      </c>
      <c r="G10">
        <f t="shared" si="0"/>
        <v>500</v>
      </c>
    </row>
    <row r="11" spans="1:11" ht="13.8" x14ac:dyDescent="0.25">
      <c r="A11" s="17">
        <v>45694</v>
      </c>
      <c r="B11" s="18" t="s">
        <v>118</v>
      </c>
      <c r="C11" s="13" t="str">
        <f>PROPER(CONCATENATE(Table1[[#This Row],[Brand Name]]," ",Table1[[#This Row],[Product Name]]))</f>
        <v>Timberland Hiking Boots</v>
      </c>
      <c r="D11" s="14">
        <f>IF(Table1[[#This Row],[Price ($)]]="",AVERAGEIF(Table1[[#This Row],[Price ($)]],Table1[[#This Row],[Category]]),Table1[[#This Row],[Price ($)]])</f>
        <v>130</v>
      </c>
      <c r="E11" s="19">
        <v>10</v>
      </c>
      <c r="F11" s="20" t="s">
        <v>59</v>
      </c>
      <c r="G11">
        <f t="shared" si="0"/>
        <v>130</v>
      </c>
      <c r="K11">
        <f>J7/J8</f>
        <v>76.666666666666671</v>
      </c>
    </row>
    <row r="12" spans="1:11" ht="13.8" x14ac:dyDescent="0.25">
      <c r="A12" s="11">
        <v>45695</v>
      </c>
      <c r="B12" s="12" t="s">
        <v>119</v>
      </c>
      <c r="C12" s="13" t="str">
        <f>PROPER(CONCATENATE(Table1[[#This Row],[Brand Name]]," ",Table1[[#This Row],[Product Name]]))</f>
        <v>Hp Laptop</v>
      </c>
      <c r="D12" s="14">
        <f>IF(Table1[[#This Row],[Price ($)]]="",AVERAGEIF(Table1[[#This Row],[Price ($)]],Table1[[#This Row],[Category]]),Table1[[#This Row],[Price ($)]])</f>
        <v>950</v>
      </c>
      <c r="E12" s="15">
        <v>25</v>
      </c>
      <c r="F12" s="16" t="s">
        <v>28</v>
      </c>
      <c r="G12">
        <f t="shared" si="0"/>
        <v>950</v>
      </c>
    </row>
    <row r="13" spans="1:11" ht="13.8" x14ac:dyDescent="0.25">
      <c r="A13" s="17">
        <v>45696</v>
      </c>
      <c r="B13" s="18" t="s">
        <v>120</v>
      </c>
      <c r="C13" s="13" t="str">
        <f>PROPER(CONCATENATE(Table1[[#This Row],[Brand Name]]," ",Table1[[#This Row],[Product Name]]))</f>
        <v>Adidas Sneakers</v>
      </c>
      <c r="D13" s="14">
        <f>IF(Table1[[#This Row],[Price ($)]]="",AVERAGEIF(Table1[[#This Row],[Price ($)]],Table1[[#This Row],[Category]]),Table1[[#This Row],[Price ($)]])</f>
        <v>90</v>
      </c>
      <c r="E13" s="19">
        <v>40</v>
      </c>
      <c r="F13" s="20" t="s">
        <v>59</v>
      </c>
      <c r="G13">
        <f t="shared" si="0"/>
        <v>90</v>
      </c>
    </row>
    <row r="14" spans="1:11" ht="13.8" x14ac:dyDescent="0.25">
      <c r="A14" s="11">
        <v>45697</v>
      </c>
      <c r="B14" s="12" t="s">
        <v>121</v>
      </c>
      <c r="C14" s="13" t="str">
        <f>PROPER(CONCATENATE(Table1[[#This Row],[Brand Name]]," ",Table1[[#This Row],[Product Name]]))</f>
        <v>Nespresso Coffee Maker</v>
      </c>
      <c r="D14" s="28">
        <f>IF(Table1[[#This Row],[Price ($)]]="",AVERAGEIF(Table1[[#This Row],[Price ($)]],Table1[[#This Row],[Category]]),Table1[[#This Row],[Price ($)]])</f>
        <v>120</v>
      </c>
      <c r="E14" s="15">
        <v>35</v>
      </c>
      <c r="F14" s="16" t="s">
        <v>36</v>
      </c>
      <c r="G14">
        <f t="shared" si="0"/>
        <v>120</v>
      </c>
    </row>
    <row r="15" spans="1:11" ht="13.8" x14ac:dyDescent="0.25">
      <c r="A15" s="17">
        <v>45698</v>
      </c>
      <c r="B15" s="18" t="s">
        <v>122</v>
      </c>
      <c r="C15" s="13" t="str">
        <f>PROPER(CONCATENATE(Table1[[#This Row],[Brand Name]]," ",Table1[[#This Row],[Product Name]]))</f>
        <v>Fitbit Smartwatch</v>
      </c>
      <c r="D15" s="14">
        <f>IF(Table1[[#This Row],[Price ($)]]="",AVERAGEIF(Table1[[#This Row],[Price ($)]],Table1[[#This Row],[Category]]),Table1[[#This Row],[Price ($)]])</f>
        <v>150</v>
      </c>
      <c r="E15" s="19">
        <v>15</v>
      </c>
      <c r="F15" s="20" t="s">
        <v>28</v>
      </c>
      <c r="G15">
        <f t="shared" si="0"/>
        <v>150</v>
      </c>
    </row>
    <row r="16" spans="1:11" ht="13.8" x14ac:dyDescent="0.25">
      <c r="A16" s="11">
        <v>45699</v>
      </c>
      <c r="B16" s="12" t="s">
        <v>123</v>
      </c>
      <c r="C16" s="13" t="str">
        <f>PROPER(CONCATENATE(Table1[[#This Row],[Brand Name]]," ",Table1[[#This Row],[Product Name]]))</f>
        <v>Bose Headphones</v>
      </c>
      <c r="D16" s="14">
        <f>IF(Table1[[#This Row],[Price ($)]]="",AVERAGEIF(Table1[[#This Row],[Price ($)]],Table1[[#This Row],[Category]]),Table1[[#This Row],[Price ($)]])</f>
        <v>250</v>
      </c>
      <c r="E16" s="15">
        <v>20</v>
      </c>
      <c r="F16" s="16" t="s">
        <v>28</v>
      </c>
      <c r="G16">
        <f t="shared" si="0"/>
        <v>250</v>
      </c>
    </row>
    <row r="17" spans="1:7" ht="13.8" x14ac:dyDescent="0.25">
      <c r="A17" s="17">
        <v>45700</v>
      </c>
      <c r="B17" s="18" t="s">
        <v>122</v>
      </c>
      <c r="C17" s="13" t="str">
        <f>PROPER(CONCATENATE(Table1[[#This Row],[Brand Name]]," ",Table1[[#This Row],[Product Name]]))</f>
        <v>Samsonite Laptop Bag</v>
      </c>
      <c r="D17" s="14">
        <f>IF(Table1[[#This Row],[Price ($)]]="",AVERAGEIF(Table1[[#This Row],[Price ($)]],Table1[[#This Row],[Category]]),Table1[[#This Row],[Price ($)]])</f>
        <v>50</v>
      </c>
      <c r="E17" s="19">
        <v>35</v>
      </c>
      <c r="F17" s="20" t="s">
        <v>75</v>
      </c>
      <c r="G17">
        <f t="shared" si="0"/>
        <v>50</v>
      </c>
    </row>
    <row r="18" spans="1:7" ht="13.8" x14ac:dyDescent="0.25">
      <c r="A18" s="11">
        <v>45701</v>
      </c>
      <c r="B18" s="12" t="s">
        <v>124</v>
      </c>
      <c r="C18" s="13" t="str">
        <f>PROPER(CONCATENATE(Table1[[#This Row],[Brand Name]]," ",Table1[[#This Row],[Product Name]]))</f>
        <v>Huawei Smartwatch</v>
      </c>
      <c r="D18" s="14">
        <f>IF(Table1[[#This Row],[Price ($)]]="",AVERAGEIF(Table1[[#This Row],[Price ($)]],Table1[[#This Row],[Category]]),Table1[[#This Row],[Price ($)]])</f>
        <v>160</v>
      </c>
      <c r="E18" s="15">
        <v>15</v>
      </c>
      <c r="F18" s="16" t="s">
        <v>28</v>
      </c>
      <c r="G18">
        <f t="shared" si="0"/>
        <v>160</v>
      </c>
    </row>
    <row r="19" spans="1:7" ht="13.8" x14ac:dyDescent="0.25">
      <c r="A19" s="17">
        <v>45702</v>
      </c>
      <c r="B19" s="18" t="s">
        <v>125</v>
      </c>
      <c r="C19" s="13" t="str">
        <f>PROPER(CONCATENATE(Table1[[#This Row],[Brand Name]]," ",Table1[[#This Row],[Product Name]]))</f>
        <v>Asus Laptop</v>
      </c>
      <c r="D19" s="14">
        <f>IF(Table1[[#This Row],[Price ($)]]="",AVERAGEIF(Table1[[#This Row],[Price ($)]],Table1[[#This Row],[Category]]),Table1[[#This Row],[Price ($)]])</f>
        <v>980</v>
      </c>
      <c r="E19" s="19">
        <v>10</v>
      </c>
      <c r="F19" s="20" t="s">
        <v>28</v>
      </c>
      <c r="G19">
        <f t="shared" si="0"/>
        <v>980</v>
      </c>
    </row>
    <row r="20" spans="1:7" ht="13.8" x14ac:dyDescent="0.25">
      <c r="A20" s="11">
        <v>45703</v>
      </c>
      <c r="B20" s="12" t="s">
        <v>118</v>
      </c>
      <c r="C20" s="13" t="str">
        <f>PROPER(CONCATENATE(Table1[[#This Row],[Brand Name]]," ",Table1[[#This Row],[Product Name]]))</f>
        <v>Oakley Sunglasses</v>
      </c>
      <c r="D20" s="14">
        <f>IF(Table1[[#This Row],[Price ($)]]="",AVERAGEIF(Table1[[#This Row],[Price ($)]],Table1[[#This Row],[Category]]),Table1[[#This Row],[Price ($)]])</f>
        <v>150</v>
      </c>
      <c r="E20" s="15">
        <v>15</v>
      </c>
      <c r="F20" s="16" t="s">
        <v>32</v>
      </c>
      <c r="G20">
        <f t="shared" si="0"/>
        <v>150</v>
      </c>
    </row>
    <row r="21" spans="1:7" ht="13.8" x14ac:dyDescent="0.25">
      <c r="A21" s="17">
        <v>45704</v>
      </c>
      <c r="B21" s="18" t="s">
        <v>116</v>
      </c>
      <c r="C21" s="13" t="str">
        <f>PROPER(CONCATENATE(Table1[[#This Row],[Brand Name]]," ",Table1[[#This Row],[Product Name]]))</f>
        <v>Coleman Camping Tent</v>
      </c>
      <c r="D21" s="14">
        <v>250</v>
      </c>
      <c r="E21" s="19">
        <v>10</v>
      </c>
      <c r="F21" s="20" t="s">
        <v>59</v>
      </c>
      <c r="G21">
        <f t="shared" si="0"/>
        <v>250</v>
      </c>
    </row>
    <row r="22" spans="1:7" ht="13.8" x14ac:dyDescent="0.25">
      <c r="A22" s="11">
        <v>45705</v>
      </c>
      <c r="B22" s="12" t="s">
        <v>126</v>
      </c>
      <c r="C22" s="13" t="str">
        <f>PROPER(CONCATENATE(Table1[[#This Row],[Brand Name]]," ",Table1[[#This Row],[Product Name]]))</f>
        <v>Nikon Camera</v>
      </c>
      <c r="D22" s="14">
        <f>IF(Table1[[#This Row],[Price ($)]]="",AVERAGEIF(Table1[[#This Row],[Price ($)]],Table1[[#This Row],[Category]]),Table1[[#This Row],[Price ($)]])</f>
        <v>700</v>
      </c>
      <c r="E22" s="15">
        <v>50</v>
      </c>
      <c r="F22" s="16" t="s">
        <v>28</v>
      </c>
      <c r="G22">
        <f t="shared" si="0"/>
        <v>700</v>
      </c>
    </row>
    <row r="23" spans="1:7" ht="13.8" x14ac:dyDescent="0.25">
      <c r="A23" s="17">
        <v>45706</v>
      </c>
      <c r="B23" s="18" t="s">
        <v>122</v>
      </c>
      <c r="C23" s="13" t="str">
        <f>PROPER(CONCATENATE(Table1[[#This Row],[Brand Name]]," ",Table1[[#This Row],[Product Name]]))</f>
        <v>Panasonic Microwave</v>
      </c>
      <c r="D23" s="28">
        <f>IF(Table1[[#This Row],[Price ($)]]="",AVERAGEIF(Table1[[#This Row],[Price ($)]],Table1[[#This Row],[Category]]),Table1[[#This Row],[Price ($)]])</f>
        <v>80</v>
      </c>
      <c r="E23" s="19">
        <v>20</v>
      </c>
      <c r="F23" s="20" t="s">
        <v>36</v>
      </c>
      <c r="G23">
        <f t="shared" si="0"/>
        <v>80</v>
      </c>
    </row>
    <row r="24" spans="1:7" ht="13.8" x14ac:dyDescent="0.25">
      <c r="A24" s="11">
        <v>45707</v>
      </c>
      <c r="B24" s="12" t="s">
        <v>127</v>
      </c>
      <c r="C24" s="13" t="str">
        <f>PROPER(CONCATENATE(Table1[[#This Row],[Brand Name]]," ",Table1[[#This Row],[Product Name]]))</f>
        <v>Xiaomi Fitness Tracker</v>
      </c>
      <c r="D24" s="14">
        <f>IF(Table1[[#This Row],[Price ($)]]="",AVERAGEIF(Table1[[#This Row],[Price ($)]],Table1[[#This Row],[Category]]),Table1[[#This Row],[Price ($)]])</f>
        <v>150</v>
      </c>
      <c r="E24" s="15">
        <v>30</v>
      </c>
      <c r="F24" s="16" t="s">
        <v>28</v>
      </c>
      <c r="G24">
        <f t="shared" si="0"/>
        <v>150</v>
      </c>
    </row>
    <row r="25" spans="1:7" ht="13.8" x14ac:dyDescent="0.25">
      <c r="A25" s="17">
        <v>45708</v>
      </c>
      <c r="B25" s="18" t="s">
        <v>122</v>
      </c>
      <c r="C25" s="13" t="str">
        <f>PROPER(CONCATENATE(Table1[[#This Row],[Brand Name]]," ",Table1[[#This Row],[Product Name]]))</f>
        <v>Google Smartphone</v>
      </c>
      <c r="D25" s="14">
        <f>IF(Table1[[#This Row],[Price ($)]]="",AVERAGEIF(Table1[[#This Row],[Price ($)]],Table1[[#This Row],[Category]]),Table1[[#This Row],[Price ($)]])</f>
        <v>800</v>
      </c>
      <c r="E25" s="19">
        <v>45</v>
      </c>
      <c r="F25" s="20" t="s">
        <v>28</v>
      </c>
      <c r="G25">
        <f t="shared" si="0"/>
        <v>800</v>
      </c>
    </row>
    <row r="26" spans="1:7" ht="13.8" x14ac:dyDescent="0.25">
      <c r="A26" s="11">
        <v>45709</v>
      </c>
      <c r="B26" s="12" t="s">
        <v>122</v>
      </c>
      <c r="C26" s="13" t="str">
        <f>PROPER(CONCATENATE(Table1[[#This Row],[Brand Name]]," ",Table1[[#This Row],[Product Name]]))</f>
        <v>Ray-Ban Sunglasses</v>
      </c>
      <c r="D26" s="14" t="e">
        <f>IF(Table1[[#This Row],[Price ($)]]="",AVERAGEIF(Table1[[#This Row],[Price ($)]],Table1[[#This Row],[Category]]),Table1[[#This Row],[Price ($)]])</f>
        <v>#DIV/0!</v>
      </c>
      <c r="E26" s="15">
        <v>25</v>
      </c>
      <c r="F26" s="16" t="s">
        <v>32</v>
      </c>
      <c r="G26" t="e">
        <f t="shared" si="0"/>
        <v>#DIV/0!</v>
      </c>
    </row>
    <row r="27" spans="1:7" ht="13.8" x14ac:dyDescent="0.25">
      <c r="A27" s="17">
        <v>45710</v>
      </c>
      <c r="B27" s="18" t="s">
        <v>122</v>
      </c>
      <c r="C27" s="13" t="str">
        <f>PROPER(CONCATENATE(Table1[[#This Row],[Brand Name]]," ",Table1[[#This Row],[Product Name]]))</f>
        <v>Vitamix Blender</v>
      </c>
      <c r="D27" s="28"/>
      <c r="E27" s="19">
        <v>40</v>
      </c>
      <c r="F27" s="20" t="s">
        <v>36</v>
      </c>
      <c r="G27">
        <f t="shared" si="0"/>
        <v>92</v>
      </c>
    </row>
    <row r="28" spans="1:7" ht="13.8" x14ac:dyDescent="0.25">
      <c r="A28" s="11">
        <v>45711</v>
      </c>
      <c r="B28" s="12" t="s">
        <v>122</v>
      </c>
      <c r="C28" s="13" t="str">
        <f>PROPER(CONCATENATE(Table1[[#This Row],[Brand Name]]," ",Table1[[#This Row],[Product Name]]))</f>
        <v>Zara Dress</v>
      </c>
      <c r="D28" s="14">
        <f>IF(Table1[[#This Row],[Price ($)]]="",AVERAGEIF(Table1[[#This Row],[Price ($)]],Table1[[#This Row],[Category]]),Table1[[#This Row],[Price ($)]])</f>
        <v>60</v>
      </c>
      <c r="E28" s="15">
        <v>30</v>
      </c>
      <c r="F28" s="16" t="s">
        <v>32</v>
      </c>
      <c r="G28">
        <f t="shared" si="0"/>
        <v>60</v>
      </c>
    </row>
    <row r="29" spans="1:7" ht="13.8" x14ac:dyDescent="0.25">
      <c r="A29" s="17">
        <v>45712</v>
      </c>
      <c r="B29" s="18" t="s">
        <v>122</v>
      </c>
      <c r="C29" s="13" t="str">
        <f>PROPER(CONCATENATE(Table1[[#This Row],[Brand Name]]," ",Table1[[#This Row],[Product Name]]))</f>
        <v>Hamilton Toaster</v>
      </c>
      <c r="D29" s="28">
        <f>IF(Table1[[#This Row],[Price ($)]]="",AVERAGEIF(Table1[[#This Row],[Price ($)]],Table1[[#This Row],[Category]]),Table1[[#This Row],[Price ($)]])</f>
        <v>40</v>
      </c>
      <c r="E29" s="19">
        <v>10</v>
      </c>
      <c r="F29" s="20" t="s">
        <v>36</v>
      </c>
      <c r="G29">
        <f t="shared" si="0"/>
        <v>40</v>
      </c>
    </row>
    <row r="30" spans="1:7" ht="13.8" x14ac:dyDescent="0.25">
      <c r="A30" s="11">
        <v>45713</v>
      </c>
      <c r="B30" s="12" t="s">
        <v>122</v>
      </c>
      <c r="C30" s="13" t="str">
        <f>PROPER(CONCATENATE(Table1[[#This Row],[Brand Name]]," ",Table1[[#This Row],[Product Name]]))</f>
        <v>Garmin Fitness Tracker</v>
      </c>
      <c r="D30" s="14">
        <f>IF(Table1[[#This Row],[Price ($)]]="",AVERAGEIF(Table1[[#This Row],[Price ($)]],Table1[[#This Row],[Category]]),Table1[[#This Row],[Price ($)]])</f>
        <v>130</v>
      </c>
      <c r="E30" s="15">
        <v>5</v>
      </c>
      <c r="F30" s="16" t="s">
        <v>28</v>
      </c>
      <c r="G30">
        <f t="shared" si="0"/>
        <v>130</v>
      </c>
    </row>
    <row r="31" spans="1:7" ht="13.8" x14ac:dyDescent="0.25">
      <c r="A31" s="17">
        <v>45714</v>
      </c>
      <c r="B31" s="18" t="s">
        <v>122</v>
      </c>
      <c r="C31" s="13" t="str">
        <f>PROPER(CONCATENATE(Table1[[#This Row],[Brand Name]]," ",Table1[[#This Row],[Product Name]]))</f>
        <v>Levi'S Jeans</v>
      </c>
      <c r="D31" s="14">
        <f>IF(Table1[[#This Row],[Price ($)]]="",AVERAGEIF(Table1[[#This Row],[Price ($)]],Table1[[#This Row],[Category]]),Table1[[#This Row],[Price ($)]])</f>
        <v>50</v>
      </c>
      <c r="E31" s="19">
        <v>50</v>
      </c>
      <c r="F31" s="20" t="s">
        <v>32</v>
      </c>
      <c r="G31">
        <f t="shared" si="0"/>
        <v>50</v>
      </c>
    </row>
    <row r="32" spans="1:7" ht="13.8" x14ac:dyDescent="0.25">
      <c r="A32" s="21">
        <v>45715</v>
      </c>
      <c r="B32" s="22" t="s">
        <v>128</v>
      </c>
      <c r="C32" s="13" t="str">
        <f>PROPER(CONCATENATE(Table1[[#This Row],[Brand Name]]," ",Table1[[#This Row],[Product Name]]))</f>
        <v>Casio Watch</v>
      </c>
      <c r="D32" s="14">
        <f>IF(Table1[[#This Row],[Price ($)]]="",AVERAGEIF(Table1[[#This Row],[Price ($)]],Table1[[#This Row],[Category]]),Table1[[#This Row],[Price ($)]])</f>
        <v>100</v>
      </c>
      <c r="E32" s="23">
        <v>20</v>
      </c>
      <c r="F32" s="10" t="s">
        <v>75</v>
      </c>
      <c r="G32">
        <f t="shared" si="0"/>
        <v>100</v>
      </c>
    </row>
  </sheetData>
  <conditionalFormatting sqref="D2:D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{397B57A8-A98D-420E-84B0-AABF05309314}</x14:id>
        </ext>
      </extLst>
    </cfRule>
  </conditionalFormatting>
  <conditionalFormatting sqref="F2:F32">
    <cfRule type="containsText" dxfId="0" priority="2" operator="containsText" text="Electronics">
      <formula>NOT(ISERROR(SEARCH("Electronics",F2)))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7B57A8-A98D-420E-84B0-AABF053093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A27E8-B7C9-412E-8FA9-A010FBC477D7}">
  <dimension ref="A1"/>
  <sheetViews>
    <sheetView workbookViewId="0">
      <selection activeCell="E30" sqref="E30"/>
    </sheetView>
  </sheetViews>
  <sheetFormatPr defaultRowHeight="13.2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3021A5-2475-4433-9CB1-10F2BAB994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Dataset</vt:lpstr>
      <vt:lpstr>Table13_1</vt:lpstr>
      <vt:lpstr>Sheet1</vt:lpstr>
      <vt:lpstr>Final Out put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GIBEREEL</dc:creator>
  <cp:lastModifiedBy>mohamed gibereel</cp:lastModifiedBy>
  <dcterms:created xsi:type="dcterms:W3CDTF">2025-10-03T12:17:53Z</dcterms:created>
  <dcterms:modified xsi:type="dcterms:W3CDTF">2025-10-08T06:06:41Z</dcterms:modified>
</cp:coreProperties>
</file>